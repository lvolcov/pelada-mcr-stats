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8878cf66f9e0fad/Football/"/>
    </mc:Choice>
  </mc:AlternateContent>
  <xr:revisionPtr revIDLastSave="2643" documentId="13_ncr:1_{D0682A70-CFBA-4557-AA8E-351EA0D15F89}" xr6:coauthVersionLast="47" xr6:coauthVersionMax="47" xr10:uidLastSave="{137626C7-722D-43D0-8BA1-500A3B0FACFC}"/>
  <bookViews>
    <workbookView xWindow="-120" yWindow="-120" windowWidth="29040" windowHeight="15720" activeTab="4" xr2:uid="{00000000-000D-0000-FFFF-FFFF00000000}"/>
  </bookViews>
  <sheets>
    <sheet name="Jogadores" sheetId="13" r:id="rId1"/>
    <sheet name="Player Match Stats" sheetId="2" r:id="rId2"/>
    <sheet name="Geral" sheetId="10" r:id="rId3"/>
    <sheet name="GA" sheetId="12" r:id="rId4"/>
    <sheet name="% Vitórias" sheetId="15" r:id="rId5"/>
  </sheets>
  <definedNames>
    <definedName name="ListaJogadores">Jogadores!$A$2:$A$100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  <c r="D5" i="15" s="1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K20" i="15"/>
  <c r="K19" i="15"/>
  <c r="K18" i="15"/>
  <c r="E29" i="15"/>
  <c r="D13" i="15"/>
  <c r="C13" i="15"/>
  <c r="B13" i="15"/>
  <c r="C12" i="15"/>
  <c r="F11" i="15"/>
  <c r="D11" i="15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A39" i="15"/>
  <c r="C39" i="15" s="1"/>
  <c r="A38" i="15"/>
  <c r="D38" i="15" s="1"/>
  <c r="A37" i="15"/>
  <c r="E37" i="15" s="1"/>
  <c r="A36" i="15"/>
  <c r="D36" i="15" s="1"/>
  <c r="A35" i="15"/>
  <c r="F35" i="15" s="1"/>
  <c r="A34" i="15"/>
  <c r="F34" i="15" s="1"/>
  <c r="A33" i="15"/>
  <c r="F33" i="15" s="1"/>
  <c r="A32" i="15"/>
  <c r="F32" i="15" s="1"/>
  <c r="A31" i="15"/>
  <c r="F31" i="15" s="1"/>
  <c r="A30" i="15"/>
  <c r="D30" i="15" s="1"/>
  <c r="A29" i="15"/>
  <c r="D29" i="15" s="1"/>
  <c r="A28" i="15"/>
  <c r="B28" i="15" s="1"/>
  <c r="A27" i="15"/>
  <c r="E27" i="15" s="1"/>
  <c r="A26" i="15"/>
  <c r="F26" i="15" s="1"/>
  <c r="A25" i="15"/>
  <c r="F25" i="15" s="1"/>
  <c r="A24" i="15"/>
  <c r="D24" i="15" s="1"/>
  <c r="A23" i="15"/>
  <c r="D23" i="15" s="1"/>
  <c r="A22" i="15"/>
  <c r="E22" i="15" s="1"/>
  <c r="A21" i="15"/>
  <c r="E21" i="15" s="1"/>
  <c r="A20" i="15"/>
  <c r="D20" i="15" s="1"/>
  <c r="A19" i="15"/>
  <c r="C19" i="15" s="1"/>
  <c r="A18" i="15"/>
  <c r="F18" i="15" s="1"/>
  <c r="A17" i="15"/>
  <c r="D17" i="15" s="1"/>
  <c r="A16" i="15"/>
  <c r="D16" i="15" s="1"/>
  <c r="A15" i="15"/>
  <c r="E15" i="15" s="1"/>
  <c r="A14" i="15"/>
  <c r="F14" i="15" s="1"/>
  <c r="A13" i="15"/>
  <c r="F13" i="15" s="1"/>
  <c r="A12" i="15"/>
  <c r="F12" i="15" s="1"/>
  <c r="A11" i="15"/>
  <c r="B11" i="15" s="1"/>
  <c r="A10" i="15"/>
  <c r="D10" i="15" s="1"/>
  <c r="A9" i="15"/>
  <c r="F9" i="15" s="1"/>
  <c r="A8" i="15"/>
  <c r="B8" i="15" s="1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F39" i="15" l="1"/>
  <c r="C11" i="15"/>
  <c r="E11" i="15"/>
  <c r="I11" i="15" s="1"/>
  <c r="C22" i="15"/>
  <c r="D22" i="15"/>
  <c r="F21" i="15"/>
  <c r="B22" i="15"/>
  <c r="J22" i="15" s="1"/>
  <c r="C29" i="15"/>
  <c r="H29" i="15" s="1"/>
  <c r="B31" i="15"/>
  <c r="J31" i="15" s="1"/>
  <c r="E30" i="15"/>
  <c r="F30" i="15"/>
  <c r="F10" i="15"/>
  <c r="C31" i="15"/>
  <c r="I31" i="15" s="1"/>
  <c r="F29" i="15"/>
  <c r="D31" i="15"/>
  <c r="E24" i="15"/>
  <c r="F24" i="15"/>
  <c r="C32" i="15"/>
  <c r="E13" i="15"/>
  <c r="G13" i="15" s="1"/>
  <c r="D8" i="15"/>
  <c r="D26" i="15"/>
  <c r="C33" i="15"/>
  <c r="E8" i="15"/>
  <c r="B14" i="15"/>
  <c r="J14" i="15" s="1"/>
  <c r="E26" i="15"/>
  <c r="D33" i="15"/>
  <c r="E31" i="15"/>
  <c r="B26" i="15"/>
  <c r="J26" i="15" s="1"/>
  <c r="C8" i="15"/>
  <c r="C26" i="15"/>
  <c r="B33" i="15"/>
  <c r="J33" i="15" s="1"/>
  <c r="F8" i="15"/>
  <c r="C14" i="15"/>
  <c r="E33" i="15"/>
  <c r="B9" i="15"/>
  <c r="J9" i="15" s="1"/>
  <c r="E14" i="15"/>
  <c r="C27" i="15"/>
  <c r="D9" i="15"/>
  <c r="C17" i="15"/>
  <c r="D28" i="15"/>
  <c r="C34" i="15"/>
  <c r="E9" i="15"/>
  <c r="D19" i="15"/>
  <c r="E28" i="15"/>
  <c r="E34" i="15"/>
  <c r="B24" i="15"/>
  <c r="J24" i="15" s="1"/>
  <c r="C24" i="15"/>
  <c r="C9" i="15"/>
  <c r="B17" i="15"/>
  <c r="J17" i="15" s="1"/>
  <c r="C28" i="15"/>
  <c r="B34" i="15"/>
  <c r="J34" i="15" s="1"/>
  <c r="E19" i="15"/>
  <c r="F28" i="15"/>
  <c r="C37" i="15"/>
  <c r="E10" i="15"/>
  <c r="F19" i="15"/>
  <c r="B29" i="15"/>
  <c r="J29" i="15" s="1"/>
  <c r="E39" i="15"/>
  <c r="H11" i="15"/>
  <c r="G29" i="15"/>
  <c r="J8" i="15"/>
  <c r="J28" i="15"/>
  <c r="J11" i="15"/>
  <c r="J13" i="15"/>
  <c r="B37" i="15"/>
  <c r="J37" i="15" s="1"/>
  <c r="D39" i="15"/>
  <c r="D37" i="15"/>
  <c r="F22" i="15"/>
  <c r="C18" i="15"/>
  <c r="E20" i="15"/>
  <c r="B27" i="15"/>
  <c r="J27" i="15" s="1"/>
  <c r="C38" i="15"/>
  <c r="B35" i="15"/>
  <c r="J35" i="15" s="1"/>
  <c r="F17" i="15"/>
  <c r="D35" i="15"/>
  <c r="E35" i="15"/>
  <c r="C20" i="15"/>
  <c r="D18" i="15"/>
  <c r="C36" i="15"/>
  <c r="E38" i="15"/>
  <c r="C15" i="15"/>
  <c r="E17" i="15"/>
  <c r="C35" i="15"/>
  <c r="D15" i="15"/>
  <c r="F15" i="15"/>
  <c r="G11" i="15"/>
  <c r="B16" i="15"/>
  <c r="J16" i="15" s="1"/>
  <c r="F20" i="15"/>
  <c r="B36" i="15"/>
  <c r="J36" i="15" s="1"/>
  <c r="C16" i="15"/>
  <c r="B25" i="15"/>
  <c r="J25" i="15" s="1"/>
  <c r="E16" i="15"/>
  <c r="B23" i="15"/>
  <c r="J23" i="15" s="1"/>
  <c r="D25" i="15"/>
  <c r="F27" i="15"/>
  <c r="E36" i="15"/>
  <c r="B12" i="15"/>
  <c r="J12" i="15" s="1"/>
  <c r="D14" i="15"/>
  <c r="F16" i="15"/>
  <c r="C23" i="15"/>
  <c r="E25" i="15"/>
  <c r="B32" i="15"/>
  <c r="J32" i="15" s="1"/>
  <c r="D34" i="15"/>
  <c r="F36" i="15"/>
  <c r="F37" i="15"/>
  <c r="B18" i="15"/>
  <c r="J18" i="15" s="1"/>
  <c r="B10" i="15"/>
  <c r="J10" i="15" s="1"/>
  <c r="D12" i="15"/>
  <c r="C21" i="15"/>
  <c r="E23" i="15"/>
  <c r="B30" i="15"/>
  <c r="J30" i="15" s="1"/>
  <c r="D32" i="15"/>
  <c r="B38" i="15"/>
  <c r="J38" i="15" s="1"/>
  <c r="H22" i="15"/>
  <c r="E18" i="15"/>
  <c r="D27" i="15"/>
  <c r="F38" i="15"/>
  <c r="C10" i="15"/>
  <c r="E12" i="15"/>
  <c r="B19" i="15"/>
  <c r="J19" i="15" s="1"/>
  <c r="D21" i="15"/>
  <c r="F23" i="15"/>
  <c r="C30" i="15"/>
  <c r="E32" i="15"/>
  <c r="B39" i="15"/>
  <c r="J39" i="15" s="1"/>
  <c r="B15" i="15"/>
  <c r="J15" i="15" s="1"/>
  <c r="B20" i="15"/>
  <c r="J20" i="15" s="1"/>
  <c r="C25" i="15"/>
  <c r="B21" i="15"/>
  <c r="J21" i="15" s="1"/>
  <c r="G22" i="15" l="1"/>
  <c r="G28" i="15"/>
  <c r="G33" i="15"/>
  <c r="H31" i="15"/>
  <c r="I22" i="15"/>
  <c r="I29" i="15"/>
  <c r="H24" i="15"/>
  <c r="G31" i="15"/>
  <c r="H8" i="15"/>
  <c r="I9" i="15"/>
  <c r="I14" i="15"/>
  <c r="I34" i="15"/>
  <c r="G27" i="15"/>
  <c r="H13" i="15"/>
  <c r="I13" i="15"/>
  <c r="I8" i="15"/>
  <c r="G17" i="15"/>
  <c r="H39" i="15"/>
  <c r="I28" i="15"/>
  <c r="G26" i="15"/>
  <c r="G8" i="15"/>
  <c r="H9" i="15"/>
  <c r="I24" i="15"/>
  <c r="I19" i="15"/>
  <c r="I37" i="15"/>
  <c r="G9" i="15"/>
  <c r="I26" i="15"/>
  <c r="G24" i="15"/>
  <c r="H28" i="15"/>
  <c r="G19" i="15"/>
  <c r="I33" i="15"/>
  <c r="H19" i="15"/>
  <c r="H26" i="15"/>
  <c r="H33" i="15"/>
  <c r="G34" i="15"/>
  <c r="G14" i="15"/>
  <c r="I27" i="15"/>
  <c r="H34" i="15"/>
  <c r="G36" i="15"/>
  <c r="I36" i="15"/>
  <c r="H36" i="15"/>
  <c r="G39" i="15"/>
  <c r="I17" i="15"/>
  <c r="I39" i="15"/>
  <c r="G12" i="15"/>
  <c r="I12" i="15"/>
  <c r="H12" i="15"/>
  <c r="H27" i="15"/>
  <c r="H37" i="15"/>
  <c r="I38" i="15"/>
  <c r="H38" i="15"/>
  <c r="G38" i="15"/>
  <c r="H14" i="15"/>
  <c r="H30" i="15"/>
  <c r="I30" i="15"/>
  <c r="G30" i="15"/>
  <c r="G10" i="15"/>
  <c r="I10" i="15"/>
  <c r="H10" i="15"/>
  <c r="G37" i="15"/>
  <c r="H17" i="15"/>
  <c r="G15" i="15"/>
  <c r="H15" i="15"/>
  <c r="I15" i="15"/>
  <c r="I32" i="15"/>
  <c r="H32" i="15"/>
  <c r="G32" i="15"/>
  <c r="G16" i="15"/>
  <c r="I16" i="15"/>
  <c r="H16" i="15"/>
  <c r="H20" i="15"/>
  <c r="G20" i="15"/>
  <c r="I20" i="15"/>
  <c r="G23" i="15"/>
  <c r="I23" i="15"/>
  <c r="H23" i="15"/>
  <c r="I25" i="15"/>
  <c r="H25" i="15"/>
  <c r="G25" i="15"/>
  <c r="I35" i="15"/>
  <c r="H35" i="15"/>
  <c r="G35" i="15"/>
  <c r="G21" i="15"/>
  <c r="H21" i="15"/>
  <c r="I21" i="15"/>
  <c r="I18" i="15"/>
  <c r="G18" i="15"/>
  <c r="H18" i="15"/>
  <c r="L6" i="15" l="1" a="1"/>
  <c r="L6" i="15" l="1"/>
  <c r="K17" i="15"/>
  <c r="K11" i="15"/>
  <c r="K13" i="15"/>
  <c r="K12" i="15"/>
  <c r="K9" i="15"/>
  <c r="K14" i="15"/>
  <c r="K16" i="15"/>
  <c r="K10" i="15"/>
  <c r="K1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<sst xmlns="http://schemas.openxmlformats.org/spreadsheetml/2006/main" count="730" uniqueCount="102">
  <si>
    <t>Date</t>
  </si>
  <si>
    <t>Player</t>
  </si>
  <si>
    <t>Goals</t>
  </si>
  <si>
    <t>Assists</t>
  </si>
  <si>
    <t>andrew</t>
  </si>
  <si>
    <t>danilo</t>
  </si>
  <si>
    <t>everton jr</t>
  </si>
  <si>
    <t>carto</t>
  </si>
  <si>
    <t>Score</t>
  </si>
  <si>
    <t xml:space="preserve">4 x 2 </t>
  </si>
  <si>
    <t>8 x 4</t>
  </si>
  <si>
    <t>junior</t>
  </si>
  <si>
    <t>thiago</t>
  </si>
  <si>
    <t>Derrota</t>
  </si>
  <si>
    <t>Grand Total</t>
  </si>
  <si>
    <t>(All)</t>
  </si>
  <si>
    <t xml:space="preserve">Vitoria </t>
  </si>
  <si>
    <t>Empate</t>
  </si>
  <si>
    <t>Vitorias</t>
  </si>
  <si>
    <t>Derrotas</t>
  </si>
  <si>
    <t>Empates</t>
  </si>
  <si>
    <t>Total de jogos</t>
  </si>
  <si>
    <t>Gols</t>
  </si>
  <si>
    <t>Assistencias</t>
  </si>
  <si>
    <t>Jogador</t>
  </si>
  <si>
    <t>10 x 3</t>
  </si>
  <si>
    <t>osmar</t>
  </si>
  <si>
    <t xml:space="preserve">4 x 4 </t>
  </si>
  <si>
    <t>carlao</t>
  </si>
  <si>
    <t>Ordem</t>
  </si>
  <si>
    <t>Sum of Ordem</t>
  </si>
  <si>
    <t>12 x 8</t>
  </si>
  <si>
    <t>3 times</t>
  </si>
  <si>
    <t>joao</t>
  </si>
  <si>
    <t>douglas</t>
  </si>
  <si>
    <t>Time misto</t>
  </si>
  <si>
    <t>Time mistos</t>
  </si>
  <si>
    <t>5 x 3</t>
  </si>
  <si>
    <t>5 x 4</t>
  </si>
  <si>
    <t>bruno</t>
  </si>
  <si>
    <t>douglas b</t>
  </si>
  <si>
    <t>guilherme</t>
  </si>
  <si>
    <t>miguel miranda</t>
  </si>
  <si>
    <t>luciano</t>
  </si>
  <si>
    <t>gabriel r</t>
  </si>
  <si>
    <t>6 x 6</t>
  </si>
  <si>
    <t>daniel</t>
  </si>
  <si>
    <t>9 x 7</t>
  </si>
  <si>
    <t>12 x 6</t>
  </si>
  <si>
    <t>gustavo</t>
  </si>
  <si>
    <t>2 x 3</t>
  </si>
  <si>
    <t>4 x 5</t>
  </si>
  <si>
    <t>lucas lopes</t>
  </si>
  <si>
    <t>lucas volcov</t>
  </si>
  <si>
    <t>miguel saddi</t>
  </si>
  <si>
    <t>gabriel diretoria</t>
  </si>
  <si>
    <t>alisson</t>
  </si>
  <si>
    <t>diego</t>
  </si>
  <si>
    <t>jonathan</t>
  </si>
  <si>
    <t>filemon</t>
  </si>
  <si>
    <t>gesiel</t>
  </si>
  <si>
    <t>leandro</t>
  </si>
  <si>
    <t>marcus</t>
  </si>
  <si>
    <t>hernani</t>
  </si>
  <si>
    <t>renan</t>
  </si>
  <si>
    <t>giusephe</t>
  </si>
  <si>
    <t>Lista de Jogadores</t>
  </si>
  <si>
    <t>📋 Como usar:</t>
  </si>
  <si>
    <t>1. Esta lista contém todos os jogadores válidos</t>
  </si>
  <si>
    <t>2. Para adicionar um novo jogador, digite o nome aqui (minúsculas)</t>
  </si>
  <si>
    <t>3. Na aba 'Player Match Stats', use o dropdown da coluna 'Player'</t>
  </si>
  <si>
    <t>4. Se digitar um nome errado, receberá um aviso</t>
  </si>
  <si>
    <t>5. Mantenha os nomes sempre em minúsculas e sem espaços extras</t>
  </si>
  <si>
    <t>📊 Análise de Desempenho - Jogadores Frequentes</t>
  </si>
  <si>
    <t>Máximo de Jogos:</t>
  </si>
  <si>
    <t>Mínimo para aparecer (60%):</t>
  </si>
  <si>
    <t>Total Jogos</t>
  </si>
  <si>
    <t>Vitórias</t>
  </si>
  <si>
    <t>% Vitórias</t>
  </si>
  <si>
    <t>% Derrotas</t>
  </si>
  <si>
    <t>% Empates</t>
  </si>
  <si>
    <t>Elegível?</t>
  </si>
  <si>
    <t>🏆 RANKING - Jogadores Elegíveis</t>
  </si>
  <si>
    <t>#</t>
  </si>
  <si>
    <t>Jogos</t>
  </si>
  <si>
    <t>Vit</t>
  </si>
  <si>
    <t>Der</t>
  </si>
  <si>
    <t>Emp</t>
  </si>
  <si>
    <t>6 x 5</t>
  </si>
  <si>
    <t>% Vit</t>
  </si>
  <si>
    <t>% Der</t>
  </si>
  <si>
    <t>% Emp</t>
  </si>
  <si>
    <t>5 X 3</t>
  </si>
  <si>
    <t>pedro</t>
  </si>
  <si>
    <t>Regra: Jogadores com pelo menos 60% do total de jogos (datas únicas)</t>
  </si>
  <si>
    <t>Apenas jogadores com 60%+ do total de jogos realizados</t>
  </si>
  <si>
    <t>Misto</t>
  </si>
  <si>
    <t>🥇</t>
  </si>
  <si>
    <t>🥈</t>
  </si>
  <si>
    <t>🥉</t>
  </si>
  <si>
    <t>9 X 6</t>
  </si>
  <si>
    <t>3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</si>
</sst>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D7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3" borderId="0" xfId="0" applyFont="1" applyFill="1"/>
    <xf numFmtId="164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0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 Vardi" refreshedDate="46189.738056828704" createdVersion="8" refreshedVersion="8" minRefreshableVersion="3" recordCount="284" xr:uid="{2C3B15CE-11B4-460F-ADFB-7994C94CC10E}">
  <cacheSource type="worksheet">
    <worksheetSource name="Table1"/>
  </cacheSource>
  <cacheFields count="10">
    <cacheField name="Date" numFmtId="14">
      <sharedItems containsSemiMixedTypes="0" containsNonDate="0" containsDate="1" containsString="0" minDate="2026-01-19T00:00:00" maxDate="2026-06-16T00:00:00" count="20">
        <d v="2026-01-19T00:00:00"/>
        <d v="2026-01-26T00:00:00"/>
        <d v="2026-02-02T00:00:00"/>
        <d v="2026-02-09T00:00:00"/>
        <d v="2026-02-16T00:00:00"/>
        <d v="2026-02-23T00:00:00"/>
        <d v="2026-03-02T00:00:00"/>
        <d v="2026-03-09T00:00:00"/>
        <d v="2026-03-16T00:00:00"/>
        <d v="2026-03-23T00:00:00"/>
        <d v="2026-03-30T00:00:00"/>
        <d v="2026-04-13T00:00:00"/>
        <d v="2026-04-20T00:00:00"/>
        <d v="2026-04-27T00:00:00"/>
        <d v="2026-05-04T00:00:00"/>
        <d v="2026-05-11T00:00:00"/>
        <d v="2026-05-18T00:00:00"/>
        <d v="2026-06-01T00:00:00"/>
        <d v="2026-06-08T00:00:00"/>
        <d v="2026-06-15T00:00:00"/>
      </sharedItems>
    </cacheField>
    <cacheField name="Score" numFmtId="0">
      <sharedItems/>
    </cacheField>
    <cacheField name="Player" numFmtId="0">
      <sharedItems count="51">
        <s v="alisson"/>
        <s v="diego"/>
        <s v="jonathan"/>
        <s v="andrew"/>
        <s v="danilo"/>
        <s v="everton jr"/>
        <s v="filemon"/>
        <s v="gesiel"/>
        <s v="leandro"/>
        <s v="carto"/>
        <s v="marcus"/>
        <s v="douglas b"/>
        <s v="lucas volcov"/>
        <s v="gabriel diretoria"/>
        <s v="hernani"/>
        <s v="junior"/>
        <s v="renan"/>
        <s v="thiago"/>
        <s v="miguel saddi"/>
        <s v="guilherme"/>
        <s v="luciano"/>
        <s v="miguel miranda"/>
        <s v="osmar"/>
        <s v="carlao"/>
        <s v="joao"/>
        <s v="bruno"/>
        <s v="douglas"/>
        <s v="gabriel r"/>
        <s v="daniel"/>
        <s v="giusephe"/>
        <s v="gustavo"/>
        <s v="lucas lopes"/>
        <s v="pedro"/>
        <s v="alisson " u="1"/>
        <s v="diego " u="1"/>
        <s v="jonathan " u="1"/>
        <s v="filemon " u="1"/>
        <s v="gesiel " u="1"/>
        <s v="leandro " u="1"/>
        <s v="marcus " u="1"/>
        <s v="hernani " u="1"/>
        <s v="renan " u="1"/>
        <s v="giusephe " u="1"/>
        <s v="gabriel " u="1"/>
        <s v="gabriel" u="1"/>
        <s v="miguel" u="1"/>
        <s v="lucas " u="1"/>
        <s v="lucas" u="1"/>
        <s v=" leandro" u="1"/>
        <s v="migue miranda" u="1"/>
        <s v="douglas " u="1"/>
      </sharedItems>
    </cacheField>
    <cacheField name="Goals" numFmtId="0">
      <sharedItems containsSemiMixedTypes="0" containsString="0" containsNumber="1" containsInteger="1" minValue="0" maxValue="6"/>
    </cacheField>
    <cacheField name="Assists" numFmtId="0">
      <sharedItems containsString="0" containsBlank="1" containsNumber="1" containsInteger="1" minValue="0" maxValue="4"/>
    </cacheField>
    <cacheField name="Vitoria " numFmtId="0">
      <sharedItems containsSemiMixedTypes="0" containsString="0" containsNumber="1" containsInteger="1" minValue="0" maxValue="1"/>
    </cacheField>
    <cacheField name="Derrota" numFmtId="0">
      <sharedItems containsSemiMixedTypes="0" containsString="0" containsNumber="1" containsInteger="1" minValue="0" maxValue="1"/>
    </cacheField>
    <cacheField name="Empate" numFmtId="0">
      <sharedItems containsSemiMixedTypes="0" containsString="0" containsNumber="1" containsInteger="1" minValue="0" maxValue="1"/>
    </cacheField>
    <cacheField name="Time misto" numFmtId="0">
      <sharedItems containsSemiMixedTypes="0" containsString="0" containsNumber="1" containsInteger="1" minValue="0" maxValue="1"/>
    </cacheField>
    <cacheField name="Ordem" numFmtId="0">
      <sharedItems containsSemiMixedTypes="0" containsString="0" containsNumber="1" containsInteger="1" minValue="0" maxValue="6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x v="0"/>
    <s v="4 x 2 "/>
    <x v="0"/>
    <n v="0"/>
    <n v="0"/>
    <n v="0"/>
    <n v="1"/>
    <n v="0"/>
    <n v="0"/>
    <n v="0"/>
  </r>
  <r>
    <x v="0"/>
    <s v="4 x 2 "/>
    <x v="1"/>
    <n v="0"/>
    <n v="1"/>
    <n v="0"/>
    <n v="1"/>
    <n v="0"/>
    <n v="0"/>
    <n v="1"/>
  </r>
  <r>
    <x v="0"/>
    <s v="4 x 2 "/>
    <x v="2"/>
    <n v="1"/>
    <n v="0"/>
    <n v="0"/>
    <n v="1"/>
    <n v="0"/>
    <n v="0"/>
    <n v="1000"/>
  </r>
  <r>
    <x v="0"/>
    <s v="4 x 2 "/>
    <x v="3"/>
    <n v="0"/>
    <n v="0"/>
    <n v="0"/>
    <n v="1"/>
    <n v="0"/>
    <n v="0"/>
    <n v="0"/>
  </r>
  <r>
    <x v="0"/>
    <s v="4 x 2 "/>
    <x v="4"/>
    <n v="0"/>
    <n v="0"/>
    <n v="0"/>
    <n v="1"/>
    <n v="0"/>
    <n v="0"/>
    <n v="0"/>
  </r>
  <r>
    <x v="0"/>
    <s v="4 x 2 "/>
    <x v="5"/>
    <n v="0"/>
    <n v="0"/>
    <n v="0"/>
    <n v="1"/>
    <n v="0"/>
    <n v="0"/>
    <n v="0"/>
  </r>
  <r>
    <x v="0"/>
    <s v="4 x 2 "/>
    <x v="6"/>
    <n v="1"/>
    <n v="0"/>
    <n v="0"/>
    <n v="1"/>
    <n v="0"/>
    <n v="0"/>
    <n v="1000"/>
  </r>
  <r>
    <x v="0"/>
    <s v="4 x 2 "/>
    <x v="7"/>
    <n v="0"/>
    <n v="1"/>
    <n v="1"/>
    <n v="0"/>
    <n v="0"/>
    <n v="0"/>
    <n v="1"/>
  </r>
  <r>
    <x v="0"/>
    <s v="4 x 2 "/>
    <x v="8"/>
    <n v="0"/>
    <n v="1"/>
    <n v="1"/>
    <n v="0"/>
    <n v="0"/>
    <n v="0"/>
    <n v="1"/>
  </r>
  <r>
    <x v="0"/>
    <s v="4 x 2 "/>
    <x v="9"/>
    <n v="0"/>
    <n v="0"/>
    <n v="1"/>
    <n v="0"/>
    <n v="0"/>
    <n v="0"/>
    <n v="0"/>
  </r>
  <r>
    <x v="0"/>
    <s v="4 x 2 "/>
    <x v="10"/>
    <n v="1"/>
    <n v="0"/>
    <n v="1"/>
    <n v="0"/>
    <n v="0"/>
    <n v="0"/>
    <n v="1000"/>
  </r>
  <r>
    <x v="0"/>
    <s v="4 x 2 "/>
    <x v="11"/>
    <n v="1"/>
    <n v="1"/>
    <n v="1"/>
    <n v="0"/>
    <n v="0"/>
    <n v="0"/>
    <n v="1001"/>
  </r>
  <r>
    <x v="0"/>
    <s v="4 x 2 "/>
    <x v="12"/>
    <n v="1"/>
    <n v="0"/>
    <n v="1"/>
    <n v="0"/>
    <n v="0"/>
    <n v="0"/>
    <n v="1000"/>
  </r>
  <r>
    <x v="0"/>
    <s v="4 x 2 "/>
    <x v="13"/>
    <n v="1"/>
    <n v="0"/>
    <n v="1"/>
    <n v="0"/>
    <n v="0"/>
    <n v="0"/>
    <n v="1000"/>
  </r>
  <r>
    <x v="1"/>
    <s v="8 x 4"/>
    <x v="10"/>
    <n v="1"/>
    <n v="2"/>
    <n v="0"/>
    <n v="1"/>
    <n v="0"/>
    <n v="0"/>
    <n v="1002"/>
  </r>
  <r>
    <x v="1"/>
    <s v="8 x 4"/>
    <x v="14"/>
    <n v="1"/>
    <n v="0"/>
    <n v="0"/>
    <n v="1"/>
    <n v="0"/>
    <n v="0"/>
    <n v="1000"/>
  </r>
  <r>
    <x v="1"/>
    <s v="8 x 4"/>
    <x v="15"/>
    <n v="0"/>
    <n v="0"/>
    <n v="0"/>
    <n v="1"/>
    <n v="0"/>
    <n v="0"/>
    <n v="0"/>
  </r>
  <r>
    <x v="1"/>
    <s v="8 x 4"/>
    <x v="16"/>
    <n v="1"/>
    <n v="0"/>
    <n v="0"/>
    <n v="1"/>
    <n v="0"/>
    <n v="0"/>
    <n v="1000"/>
  </r>
  <r>
    <x v="1"/>
    <s v="8 x 4"/>
    <x v="2"/>
    <n v="1"/>
    <n v="0"/>
    <n v="0"/>
    <n v="1"/>
    <n v="0"/>
    <n v="0"/>
    <n v="1000"/>
  </r>
  <r>
    <x v="1"/>
    <s v="8 x 4"/>
    <x v="12"/>
    <n v="0"/>
    <n v="0"/>
    <n v="0"/>
    <n v="1"/>
    <n v="0"/>
    <n v="0"/>
    <n v="0"/>
  </r>
  <r>
    <x v="1"/>
    <s v="8 x 4"/>
    <x v="11"/>
    <n v="0"/>
    <n v="0"/>
    <n v="0"/>
    <n v="1"/>
    <n v="0"/>
    <n v="0"/>
    <n v="0"/>
  </r>
  <r>
    <x v="1"/>
    <s v="8 x 4"/>
    <x v="17"/>
    <n v="0"/>
    <n v="0"/>
    <n v="1"/>
    <n v="0"/>
    <n v="0"/>
    <n v="0"/>
    <n v="0"/>
  </r>
  <r>
    <x v="1"/>
    <s v="8 x 4"/>
    <x v="18"/>
    <n v="0"/>
    <n v="1"/>
    <n v="1"/>
    <n v="0"/>
    <n v="0"/>
    <n v="0"/>
    <n v="1"/>
  </r>
  <r>
    <x v="1"/>
    <s v="8 x 4"/>
    <x v="13"/>
    <n v="1"/>
    <n v="1"/>
    <n v="1"/>
    <n v="0"/>
    <n v="0"/>
    <n v="0"/>
    <n v="1001"/>
  </r>
  <r>
    <x v="1"/>
    <s v="8 x 4"/>
    <x v="1"/>
    <n v="1"/>
    <n v="2"/>
    <n v="1"/>
    <n v="0"/>
    <n v="0"/>
    <n v="0"/>
    <n v="1002"/>
  </r>
  <r>
    <x v="1"/>
    <s v="8 x 4"/>
    <x v="19"/>
    <n v="1"/>
    <n v="1"/>
    <n v="1"/>
    <n v="0"/>
    <n v="0"/>
    <n v="0"/>
    <n v="1001"/>
  </r>
  <r>
    <x v="1"/>
    <s v="8 x 4"/>
    <x v="20"/>
    <n v="2"/>
    <n v="0"/>
    <n v="1"/>
    <n v="0"/>
    <n v="0"/>
    <n v="0"/>
    <n v="2000"/>
  </r>
  <r>
    <x v="1"/>
    <s v="8 x 4"/>
    <x v="21"/>
    <n v="3"/>
    <n v="0"/>
    <n v="1"/>
    <n v="0"/>
    <n v="0"/>
    <n v="0"/>
    <n v="3000"/>
  </r>
  <r>
    <x v="2"/>
    <s v="10 x 3"/>
    <x v="13"/>
    <n v="0"/>
    <n v="0"/>
    <n v="0"/>
    <n v="1"/>
    <n v="0"/>
    <n v="0"/>
    <n v="0"/>
  </r>
  <r>
    <x v="2"/>
    <s v="10 x 3"/>
    <x v="2"/>
    <n v="2"/>
    <n v="1"/>
    <n v="0"/>
    <n v="1"/>
    <n v="0"/>
    <n v="0"/>
    <n v="2001"/>
  </r>
  <r>
    <x v="2"/>
    <s v="10 x 3"/>
    <x v="8"/>
    <n v="0"/>
    <n v="0"/>
    <n v="0"/>
    <n v="1"/>
    <n v="0"/>
    <n v="0"/>
    <n v="0"/>
  </r>
  <r>
    <x v="2"/>
    <s v="10 x 3"/>
    <x v="17"/>
    <n v="0"/>
    <n v="0"/>
    <n v="0"/>
    <n v="1"/>
    <n v="0"/>
    <n v="0"/>
    <n v="0"/>
  </r>
  <r>
    <x v="2"/>
    <s v="10 x 3"/>
    <x v="11"/>
    <n v="1"/>
    <n v="1"/>
    <n v="0"/>
    <n v="1"/>
    <n v="0"/>
    <n v="0"/>
    <n v="1001"/>
  </r>
  <r>
    <x v="2"/>
    <s v="10 x 3"/>
    <x v="1"/>
    <n v="0"/>
    <n v="0"/>
    <n v="0"/>
    <n v="1"/>
    <n v="0"/>
    <n v="0"/>
    <n v="0"/>
  </r>
  <r>
    <x v="2"/>
    <s v="10 x 3"/>
    <x v="21"/>
    <n v="0"/>
    <n v="0"/>
    <n v="0"/>
    <n v="1"/>
    <n v="0"/>
    <n v="0"/>
    <n v="0"/>
  </r>
  <r>
    <x v="2"/>
    <s v="10 x 3"/>
    <x v="0"/>
    <n v="0"/>
    <n v="0"/>
    <n v="1"/>
    <n v="0"/>
    <n v="0"/>
    <n v="0"/>
    <n v="0"/>
  </r>
  <r>
    <x v="2"/>
    <s v="10 x 3"/>
    <x v="15"/>
    <n v="4"/>
    <n v="2"/>
    <n v="1"/>
    <n v="0"/>
    <n v="0"/>
    <n v="0"/>
    <n v="4002"/>
  </r>
  <r>
    <x v="2"/>
    <s v="10 x 3"/>
    <x v="18"/>
    <n v="0"/>
    <n v="0"/>
    <n v="1"/>
    <n v="0"/>
    <n v="0"/>
    <n v="0"/>
    <n v="0"/>
  </r>
  <r>
    <x v="2"/>
    <s v="10 x 3"/>
    <x v="10"/>
    <n v="1"/>
    <n v="0"/>
    <n v="1"/>
    <n v="0"/>
    <n v="0"/>
    <n v="0"/>
    <n v="1000"/>
  </r>
  <r>
    <x v="2"/>
    <s v="10 x 3"/>
    <x v="22"/>
    <n v="0"/>
    <n v="0"/>
    <n v="1"/>
    <n v="0"/>
    <n v="0"/>
    <n v="0"/>
    <n v="0"/>
  </r>
  <r>
    <x v="2"/>
    <s v="10 x 3"/>
    <x v="16"/>
    <n v="3"/>
    <n v="0"/>
    <n v="1"/>
    <n v="0"/>
    <n v="0"/>
    <n v="0"/>
    <n v="3000"/>
  </r>
  <r>
    <x v="2"/>
    <s v="10 x 3"/>
    <x v="20"/>
    <n v="2"/>
    <n v="3"/>
    <n v="1"/>
    <n v="0"/>
    <n v="0"/>
    <n v="0"/>
    <n v="2003"/>
  </r>
  <r>
    <x v="3"/>
    <s v="4 x 4 "/>
    <x v="0"/>
    <n v="0"/>
    <n v="0"/>
    <n v="0"/>
    <n v="0"/>
    <n v="1"/>
    <n v="0"/>
    <n v="0"/>
  </r>
  <r>
    <x v="3"/>
    <s v="4 x 4 "/>
    <x v="8"/>
    <n v="1"/>
    <n v="0"/>
    <n v="0"/>
    <n v="0"/>
    <n v="1"/>
    <n v="0"/>
    <n v="1000"/>
  </r>
  <r>
    <x v="3"/>
    <s v="4 x 4 "/>
    <x v="5"/>
    <n v="1"/>
    <n v="0"/>
    <n v="0"/>
    <n v="0"/>
    <n v="1"/>
    <n v="0"/>
    <n v="1000"/>
  </r>
  <r>
    <x v="3"/>
    <s v="4 x 4 "/>
    <x v="20"/>
    <n v="1"/>
    <n v="0"/>
    <n v="0"/>
    <n v="0"/>
    <n v="1"/>
    <n v="0"/>
    <n v="1000"/>
  </r>
  <r>
    <x v="3"/>
    <s v="4 x 4 "/>
    <x v="22"/>
    <n v="1"/>
    <n v="0"/>
    <n v="0"/>
    <n v="0"/>
    <n v="1"/>
    <n v="0"/>
    <n v="1000"/>
  </r>
  <r>
    <x v="3"/>
    <s v="4 x 4 "/>
    <x v="2"/>
    <n v="0"/>
    <n v="0"/>
    <n v="0"/>
    <n v="0"/>
    <n v="1"/>
    <n v="0"/>
    <n v="0"/>
  </r>
  <r>
    <x v="3"/>
    <s v="4 x 4 "/>
    <x v="13"/>
    <n v="0"/>
    <n v="1"/>
    <n v="0"/>
    <n v="0"/>
    <n v="1"/>
    <n v="0"/>
    <n v="1"/>
  </r>
  <r>
    <x v="3"/>
    <s v="4 x 4 "/>
    <x v="17"/>
    <n v="0"/>
    <n v="0"/>
    <n v="0"/>
    <n v="0"/>
    <n v="1"/>
    <n v="0"/>
    <n v="0"/>
  </r>
  <r>
    <x v="3"/>
    <s v="4 x 4 "/>
    <x v="23"/>
    <n v="2"/>
    <n v="0"/>
    <n v="0"/>
    <n v="0"/>
    <n v="1"/>
    <n v="0"/>
    <n v="2000"/>
  </r>
  <r>
    <x v="3"/>
    <s v="4 x 4 "/>
    <x v="14"/>
    <n v="1"/>
    <n v="0"/>
    <n v="0"/>
    <n v="0"/>
    <n v="1"/>
    <n v="0"/>
    <n v="1000"/>
  </r>
  <r>
    <x v="3"/>
    <s v="4 x 4 "/>
    <x v="19"/>
    <n v="0"/>
    <n v="2"/>
    <n v="0"/>
    <n v="0"/>
    <n v="1"/>
    <n v="0"/>
    <n v="2"/>
  </r>
  <r>
    <x v="3"/>
    <s v="4 x 4 "/>
    <x v="11"/>
    <n v="0"/>
    <n v="0"/>
    <n v="0"/>
    <n v="0"/>
    <n v="1"/>
    <n v="0"/>
    <n v="0"/>
  </r>
  <r>
    <x v="3"/>
    <s v="4 x 4 "/>
    <x v="12"/>
    <n v="0"/>
    <n v="0"/>
    <n v="0"/>
    <n v="0"/>
    <n v="1"/>
    <n v="0"/>
    <n v="0"/>
  </r>
  <r>
    <x v="3"/>
    <s v="4 x 4 "/>
    <x v="10"/>
    <n v="1"/>
    <n v="0"/>
    <n v="0"/>
    <n v="0"/>
    <n v="1"/>
    <n v="0"/>
    <n v="1000"/>
  </r>
  <r>
    <x v="4"/>
    <s v="12 x 8"/>
    <x v="19"/>
    <n v="2"/>
    <n v="2"/>
    <n v="0"/>
    <n v="1"/>
    <n v="0"/>
    <n v="0"/>
    <n v="2002"/>
  </r>
  <r>
    <x v="4"/>
    <s v="12 x 8"/>
    <x v="18"/>
    <n v="0"/>
    <n v="0"/>
    <n v="0"/>
    <n v="1"/>
    <n v="0"/>
    <n v="0"/>
    <n v="0"/>
  </r>
  <r>
    <x v="4"/>
    <s v="12 x 8"/>
    <x v="21"/>
    <n v="1"/>
    <n v="0"/>
    <n v="0"/>
    <n v="1"/>
    <n v="0"/>
    <n v="0"/>
    <n v="1000"/>
  </r>
  <r>
    <x v="4"/>
    <s v="12 x 8"/>
    <x v="10"/>
    <n v="4"/>
    <n v="1"/>
    <n v="0"/>
    <n v="1"/>
    <n v="0"/>
    <n v="0"/>
    <n v="4001"/>
  </r>
  <r>
    <x v="4"/>
    <s v="12 x 8"/>
    <x v="9"/>
    <n v="1"/>
    <m/>
    <n v="0"/>
    <n v="1"/>
    <n v="0"/>
    <n v="0"/>
    <n v="1000"/>
  </r>
  <r>
    <x v="4"/>
    <s v="12 x 8"/>
    <x v="24"/>
    <n v="0"/>
    <n v="1"/>
    <n v="0"/>
    <n v="1"/>
    <n v="0"/>
    <n v="0"/>
    <n v="1"/>
  </r>
  <r>
    <x v="4"/>
    <s v="12 x 8"/>
    <x v="13"/>
    <n v="0"/>
    <n v="2"/>
    <n v="0"/>
    <n v="1"/>
    <n v="0"/>
    <n v="0"/>
    <n v="2"/>
  </r>
  <r>
    <x v="4"/>
    <s v="12 x 8"/>
    <x v="15"/>
    <n v="6"/>
    <n v="3"/>
    <n v="1"/>
    <n v="0"/>
    <n v="0"/>
    <n v="0"/>
    <n v="6003"/>
  </r>
  <r>
    <x v="4"/>
    <s v="12 x 8"/>
    <x v="11"/>
    <n v="3"/>
    <n v="3"/>
    <n v="1"/>
    <n v="0"/>
    <n v="0"/>
    <n v="0"/>
    <n v="3003"/>
  </r>
  <r>
    <x v="4"/>
    <s v="12 x 8"/>
    <x v="16"/>
    <n v="2"/>
    <n v="3"/>
    <n v="1"/>
    <n v="0"/>
    <n v="0"/>
    <n v="0"/>
    <n v="2003"/>
  </r>
  <r>
    <x v="4"/>
    <s v="12 x 8"/>
    <x v="8"/>
    <n v="0"/>
    <n v="0"/>
    <n v="1"/>
    <n v="0"/>
    <n v="0"/>
    <n v="0"/>
    <n v="0"/>
  </r>
  <r>
    <x v="4"/>
    <s v="12 x 8"/>
    <x v="20"/>
    <n v="1"/>
    <n v="0"/>
    <n v="1"/>
    <n v="0"/>
    <n v="0"/>
    <n v="0"/>
    <n v="1000"/>
  </r>
  <r>
    <x v="4"/>
    <s v="12 x 8"/>
    <x v="2"/>
    <n v="0"/>
    <n v="2"/>
    <n v="1"/>
    <n v="0"/>
    <n v="0"/>
    <n v="0"/>
    <n v="2"/>
  </r>
  <r>
    <x v="4"/>
    <s v="12 x 8"/>
    <x v="12"/>
    <n v="0"/>
    <n v="0"/>
    <n v="1"/>
    <n v="0"/>
    <n v="0"/>
    <n v="0"/>
    <n v="0"/>
  </r>
  <r>
    <x v="5"/>
    <s v="3 times"/>
    <x v="0"/>
    <n v="0"/>
    <n v="0"/>
    <n v="0"/>
    <n v="0"/>
    <n v="0"/>
    <n v="1"/>
    <n v="0"/>
  </r>
  <r>
    <x v="5"/>
    <s v="3 times"/>
    <x v="13"/>
    <n v="1"/>
    <n v="1"/>
    <n v="0"/>
    <n v="0"/>
    <n v="0"/>
    <n v="1"/>
    <n v="1001"/>
  </r>
  <r>
    <x v="5"/>
    <s v="3 times"/>
    <x v="18"/>
    <n v="0"/>
    <n v="0"/>
    <n v="0"/>
    <n v="0"/>
    <n v="0"/>
    <n v="1"/>
    <n v="0"/>
  </r>
  <r>
    <x v="5"/>
    <s v="3 times"/>
    <x v="1"/>
    <n v="0"/>
    <n v="0"/>
    <n v="0"/>
    <n v="0"/>
    <n v="0"/>
    <n v="1"/>
    <n v="0"/>
  </r>
  <r>
    <x v="5"/>
    <s v="3 times"/>
    <x v="15"/>
    <n v="2"/>
    <n v="1"/>
    <n v="0"/>
    <n v="0"/>
    <n v="0"/>
    <n v="1"/>
    <n v="2001"/>
  </r>
  <r>
    <x v="5"/>
    <s v="3 times"/>
    <x v="14"/>
    <n v="1"/>
    <n v="2"/>
    <n v="0"/>
    <n v="0"/>
    <n v="0"/>
    <n v="1"/>
    <n v="1002"/>
  </r>
  <r>
    <x v="5"/>
    <s v="3 times"/>
    <x v="21"/>
    <n v="1"/>
    <n v="0"/>
    <n v="0"/>
    <n v="0"/>
    <n v="0"/>
    <n v="1"/>
    <n v="1000"/>
  </r>
  <r>
    <x v="5"/>
    <s v="3 times"/>
    <x v="20"/>
    <n v="0"/>
    <n v="0"/>
    <n v="0"/>
    <n v="0"/>
    <n v="0"/>
    <n v="1"/>
    <n v="0"/>
  </r>
  <r>
    <x v="5"/>
    <s v="3 times"/>
    <x v="2"/>
    <n v="0"/>
    <n v="0"/>
    <n v="0"/>
    <n v="0"/>
    <n v="0"/>
    <n v="1"/>
    <n v="0"/>
  </r>
  <r>
    <x v="5"/>
    <s v="3 times"/>
    <x v="11"/>
    <n v="3"/>
    <n v="3"/>
    <n v="0"/>
    <n v="0"/>
    <n v="0"/>
    <n v="1"/>
    <n v="3003"/>
  </r>
  <r>
    <x v="5"/>
    <s v="3 times"/>
    <x v="8"/>
    <n v="1"/>
    <n v="0"/>
    <n v="0"/>
    <n v="0"/>
    <n v="0"/>
    <n v="1"/>
    <n v="1000"/>
  </r>
  <r>
    <x v="5"/>
    <s v="3 times"/>
    <x v="24"/>
    <n v="0"/>
    <n v="1"/>
    <n v="0"/>
    <n v="0"/>
    <n v="0"/>
    <n v="1"/>
    <n v="1"/>
  </r>
  <r>
    <x v="5"/>
    <s v="3 times"/>
    <x v="19"/>
    <n v="2"/>
    <n v="2"/>
    <n v="0"/>
    <n v="0"/>
    <n v="0"/>
    <n v="1"/>
    <n v="2002"/>
  </r>
  <r>
    <x v="5"/>
    <s v="3 times"/>
    <x v="10"/>
    <n v="1"/>
    <n v="0"/>
    <n v="0"/>
    <n v="0"/>
    <n v="0"/>
    <n v="1"/>
    <n v="1000"/>
  </r>
  <r>
    <x v="5"/>
    <s v="3 times"/>
    <x v="25"/>
    <n v="0"/>
    <n v="0"/>
    <n v="0"/>
    <n v="0"/>
    <n v="0"/>
    <n v="1"/>
    <n v="0"/>
  </r>
  <r>
    <x v="5"/>
    <s v="3 times"/>
    <x v="12"/>
    <n v="0"/>
    <n v="1"/>
    <n v="0"/>
    <n v="0"/>
    <n v="0"/>
    <n v="1"/>
    <n v="1"/>
  </r>
  <r>
    <x v="5"/>
    <s v="3 times"/>
    <x v="23"/>
    <n v="1"/>
    <n v="0"/>
    <n v="0"/>
    <n v="0"/>
    <n v="0"/>
    <n v="1"/>
    <n v="1000"/>
  </r>
  <r>
    <x v="5"/>
    <s v="3 times"/>
    <x v="16"/>
    <n v="2"/>
    <n v="1"/>
    <n v="0"/>
    <n v="0"/>
    <n v="0"/>
    <n v="1"/>
    <n v="2001"/>
  </r>
  <r>
    <x v="5"/>
    <s v="3 times"/>
    <x v="22"/>
    <n v="1"/>
    <n v="0"/>
    <n v="0"/>
    <n v="0"/>
    <n v="0"/>
    <n v="1"/>
    <n v="1000"/>
  </r>
  <r>
    <x v="5"/>
    <s v="3 times"/>
    <x v="26"/>
    <n v="0"/>
    <n v="0"/>
    <n v="0"/>
    <n v="0"/>
    <n v="0"/>
    <n v="1"/>
    <n v="0"/>
  </r>
  <r>
    <x v="6"/>
    <s v="5 x 3"/>
    <x v="0"/>
    <n v="0"/>
    <n v="0"/>
    <n v="0"/>
    <n v="1"/>
    <n v="0"/>
    <n v="0"/>
    <n v="0"/>
  </r>
  <r>
    <x v="6"/>
    <s v="5 x 3"/>
    <x v="20"/>
    <n v="0"/>
    <n v="0"/>
    <n v="0"/>
    <n v="1"/>
    <n v="0"/>
    <n v="0"/>
    <n v="0"/>
  </r>
  <r>
    <x v="6"/>
    <s v="5 x 3"/>
    <x v="18"/>
    <n v="1"/>
    <n v="0"/>
    <n v="0"/>
    <n v="1"/>
    <n v="0"/>
    <n v="0"/>
    <n v="1000"/>
  </r>
  <r>
    <x v="6"/>
    <s v="5 x 3"/>
    <x v="12"/>
    <n v="0"/>
    <n v="1"/>
    <n v="0"/>
    <n v="1"/>
    <n v="0"/>
    <n v="0"/>
    <n v="1"/>
  </r>
  <r>
    <x v="6"/>
    <s v="5 x 3"/>
    <x v="19"/>
    <n v="1"/>
    <n v="0"/>
    <n v="0"/>
    <n v="1"/>
    <n v="0"/>
    <n v="0"/>
    <n v="1000"/>
  </r>
  <r>
    <x v="6"/>
    <s v="5 x 3"/>
    <x v="21"/>
    <n v="0"/>
    <n v="0"/>
    <n v="0"/>
    <n v="1"/>
    <n v="0"/>
    <n v="0"/>
    <n v="0"/>
  </r>
  <r>
    <x v="6"/>
    <s v="5 x 3"/>
    <x v="26"/>
    <n v="1"/>
    <n v="0"/>
    <n v="0"/>
    <n v="1"/>
    <n v="0"/>
    <n v="0"/>
    <n v="1000"/>
  </r>
  <r>
    <x v="6"/>
    <s v="5 x 3"/>
    <x v="13"/>
    <n v="0"/>
    <n v="3"/>
    <n v="1"/>
    <n v="0"/>
    <n v="0"/>
    <n v="0"/>
    <n v="3"/>
  </r>
  <r>
    <x v="6"/>
    <s v="5 x 3"/>
    <x v="24"/>
    <n v="2"/>
    <n v="2"/>
    <n v="1"/>
    <n v="0"/>
    <n v="0"/>
    <n v="0"/>
    <n v="2002"/>
  </r>
  <r>
    <x v="6"/>
    <s v="5 x 3"/>
    <x v="1"/>
    <n v="1"/>
    <n v="0"/>
    <n v="1"/>
    <n v="0"/>
    <n v="0"/>
    <n v="0"/>
    <n v="1000"/>
  </r>
  <r>
    <x v="6"/>
    <s v="5 x 3"/>
    <x v="23"/>
    <n v="1"/>
    <n v="0"/>
    <n v="1"/>
    <n v="0"/>
    <n v="0"/>
    <n v="0"/>
    <n v="1000"/>
  </r>
  <r>
    <x v="6"/>
    <s v="5 x 3"/>
    <x v="11"/>
    <n v="1"/>
    <n v="0"/>
    <n v="1"/>
    <n v="0"/>
    <n v="0"/>
    <n v="0"/>
    <n v="1000"/>
  </r>
  <r>
    <x v="6"/>
    <s v="5 x 3"/>
    <x v="10"/>
    <n v="0"/>
    <n v="0"/>
    <n v="1"/>
    <n v="0"/>
    <n v="0"/>
    <n v="0"/>
    <n v="0"/>
  </r>
  <r>
    <x v="6"/>
    <s v="5 x 3"/>
    <x v="22"/>
    <n v="0"/>
    <n v="0"/>
    <n v="1"/>
    <n v="0"/>
    <n v="0"/>
    <n v="0"/>
    <n v="0"/>
  </r>
  <r>
    <x v="7"/>
    <s v="5 x 4"/>
    <x v="25"/>
    <n v="0"/>
    <n v="0"/>
    <n v="1"/>
    <n v="0"/>
    <n v="0"/>
    <n v="0"/>
    <n v="0"/>
  </r>
  <r>
    <x v="7"/>
    <s v="5 x 4"/>
    <x v="27"/>
    <n v="2"/>
    <n v="0"/>
    <n v="1"/>
    <n v="0"/>
    <n v="0"/>
    <n v="0"/>
    <n v="2000"/>
  </r>
  <r>
    <x v="7"/>
    <s v="5 x 4"/>
    <x v="10"/>
    <n v="2"/>
    <n v="1"/>
    <n v="1"/>
    <n v="0"/>
    <n v="0"/>
    <n v="0"/>
    <n v="2001"/>
  </r>
  <r>
    <x v="7"/>
    <s v="5 x 4"/>
    <x v="19"/>
    <n v="0"/>
    <n v="0"/>
    <n v="1"/>
    <n v="0"/>
    <n v="0"/>
    <n v="0"/>
    <n v="0"/>
  </r>
  <r>
    <x v="7"/>
    <s v="5 x 4"/>
    <x v="23"/>
    <n v="0"/>
    <n v="0"/>
    <n v="1"/>
    <n v="0"/>
    <n v="0"/>
    <n v="0"/>
    <n v="0"/>
  </r>
  <r>
    <x v="7"/>
    <s v="5 x 4"/>
    <x v="21"/>
    <n v="0"/>
    <n v="1"/>
    <n v="1"/>
    <n v="0"/>
    <n v="0"/>
    <n v="0"/>
    <n v="1"/>
  </r>
  <r>
    <x v="7"/>
    <s v="5 x 4"/>
    <x v="24"/>
    <n v="0"/>
    <n v="1"/>
    <n v="1"/>
    <n v="0"/>
    <n v="0"/>
    <n v="0"/>
    <n v="1"/>
  </r>
  <r>
    <x v="7"/>
    <s v="5 x 4"/>
    <x v="18"/>
    <n v="0"/>
    <n v="0"/>
    <n v="0"/>
    <n v="1"/>
    <n v="0"/>
    <n v="0"/>
    <n v="0"/>
  </r>
  <r>
    <x v="7"/>
    <s v="5 x 4"/>
    <x v="11"/>
    <n v="1"/>
    <n v="1"/>
    <n v="0"/>
    <n v="1"/>
    <n v="0"/>
    <n v="0"/>
    <n v="1001"/>
  </r>
  <r>
    <x v="7"/>
    <s v="5 x 4"/>
    <x v="12"/>
    <n v="0"/>
    <n v="0"/>
    <n v="0"/>
    <n v="1"/>
    <n v="0"/>
    <n v="0"/>
    <n v="0"/>
  </r>
  <r>
    <x v="7"/>
    <s v="5 x 4"/>
    <x v="1"/>
    <n v="0"/>
    <n v="0"/>
    <n v="0"/>
    <n v="1"/>
    <n v="0"/>
    <n v="0"/>
    <n v="0"/>
  </r>
  <r>
    <x v="7"/>
    <s v="5 x 4"/>
    <x v="13"/>
    <n v="1"/>
    <n v="0"/>
    <n v="0"/>
    <n v="1"/>
    <n v="0"/>
    <n v="0"/>
    <n v="1000"/>
  </r>
  <r>
    <x v="7"/>
    <s v="5 x 4"/>
    <x v="20"/>
    <n v="0"/>
    <n v="0"/>
    <n v="0"/>
    <n v="1"/>
    <n v="0"/>
    <n v="0"/>
    <n v="0"/>
  </r>
  <r>
    <x v="7"/>
    <s v="5 x 4"/>
    <x v="15"/>
    <n v="2"/>
    <n v="1"/>
    <n v="0"/>
    <n v="1"/>
    <n v="0"/>
    <n v="0"/>
    <n v="2001"/>
  </r>
  <r>
    <x v="8"/>
    <s v="5 x 3"/>
    <x v="0"/>
    <n v="0"/>
    <n v="0"/>
    <n v="0"/>
    <n v="1"/>
    <n v="0"/>
    <n v="0"/>
    <n v="0"/>
  </r>
  <r>
    <x v="8"/>
    <s v="5 x 3"/>
    <x v="13"/>
    <n v="2"/>
    <n v="0"/>
    <n v="0"/>
    <n v="1"/>
    <n v="0"/>
    <n v="0"/>
    <n v="2000"/>
  </r>
  <r>
    <x v="8"/>
    <s v="5 x 3"/>
    <x v="1"/>
    <n v="0"/>
    <n v="0"/>
    <n v="0"/>
    <n v="1"/>
    <n v="0"/>
    <n v="0"/>
    <n v="0"/>
  </r>
  <r>
    <x v="8"/>
    <s v="5 x 3"/>
    <x v="20"/>
    <n v="0"/>
    <n v="0"/>
    <n v="0"/>
    <n v="1"/>
    <n v="0"/>
    <n v="0"/>
    <n v="0"/>
  </r>
  <r>
    <x v="8"/>
    <s v="5 x 3"/>
    <x v="24"/>
    <n v="0"/>
    <n v="1"/>
    <n v="0"/>
    <n v="1"/>
    <n v="0"/>
    <n v="0"/>
    <n v="1"/>
  </r>
  <r>
    <x v="8"/>
    <s v="5 x 3"/>
    <x v="3"/>
    <n v="0"/>
    <n v="0"/>
    <n v="0"/>
    <n v="1"/>
    <n v="0"/>
    <n v="0"/>
    <n v="0"/>
  </r>
  <r>
    <x v="8"/>
    <s v="5 x 3"/>
    <x v="21"/>
    <n v="1"/>
    <n v="2"/>
    <n v="0"/>
    <n v="1"/>
    <n v="0"/>
    <n v="0"/>
    <n v="1002"/>
  </r>
  <r>
    <x v="8"/>
    <s v="5 x 3"/>
    <x v="18"/>
    <n v="2"/>
    <n v="0"/>
    <n v="1"/>
    <n v="0"/>
    <n v="0"/>
    <n v="0"/>
    <n v="2000"/>
  </r>
  <r>
    <x v="8"/>
    <s v="5 x 3"/>
    <x v="10"/>
    <n v="0"/>
    <n v="1"/>
    <n v="1"/>
    <n v="0"/>
    <n v="0"/>
    <n v="0"/>
    <n v="1"/>
  </r>
  <r>
    <x v="8"/>
    <s v="5 x 3"/>
    <x v="23"/>
    <n v="0"/>
    <n v="0"/>
    <n v="1"/>
    <n v="0"/>
    <n v="0"/>
    <n v="0"/>
    <n v="0"/>
  </r>
  <r>
    <x v="8"/>
    <s v="5 x 3"/>
    <x v="19"/>
    <n v="1"/>
    <n v="1"/>
    <n v="1"/>
    <n v="0"/>
    <n v="0"/>
    <n v="0"/>
    <n v="1001"/>
  </r>
  <r>
    <x v="8"/>
    <s v="5 x 3"/>
    <x v="12"/>
    <n v="0"/>
    <n v="0"/>
    <n v="1"/>
    <n v="0"/>
    <n v="0"/>
    <n v="0"/>
    <n v="0"/>
  </r>
  <r>
    <x v="8"/>
    <s v="5 x 3"/>
    <x v="22"/>
    <n v="2"/>
    <n v="1"/>
    <n v="1"/>
    <n v="0"/>
    <n v="0"/>
    <n v="0"/>
    <n v="2001"/>
  </r>
  <r>
    <x v="8"/>
    <s v="5 x 3"/>
    <x v="11"/>
    <n v="0"/>
    <n v="0"/>
    <n v="1"/>
    <n v="0"/>
    <n v="0"/>
    <n v="0"/>
    <n v="0"/>
  </r>
  <r>
    <x v="9"/>
    <s v="5 x 3"/>
    <x v="0"/>
    <n v="0"/>
    <n v="1"/>
    <n v="1"/>
    <n v="0"/>
    <n v="0"/>
    <n v="0"/>
    <n v="1"/>
  </r>
  <r>
    <x v="9"/>
    <s v="5 x 3"/>
    <x v="20"/>
    <n v="0"/>
    <n v="0"/>
    <n v="1"/>
    <n v="0"/>
    <n v="0"/>
    <n v="0"/>
    <n v="0"/>
  </r>
  <r>
    <x v="9"/>
    <s v="5 x 3"/>
    <x v="14"/>
    <n v="0"/>
    <n v="0"/>
    <n v="1"/>
    <n v="0"/>
    <n v="0"/>
    <n v="0"/>
    <n v="0"/>
  </r>
  <r>
    <x v="9"/>
    <s v="5 x 3"/>
    <x v="1"/>
    <n v="1"/>
    <n v="0"/>
    <n v="1"/>
    <n v="0"/>
    <n v="0"/>
    <n v="0"/>
    <n v="1000"/>
  </r>
  <r>
    <x v="9"/>
    <s v="5 x 3"/>
    <x v="23"/>
    <n v="1"/>
    <n v="0"/>
    <n v="1"/>
    <n v="0"/>
    <n v="0"/>
    <n v="0"/>
    <n v="1000"/>
  </r>
  <r>
    <x v="9"/>
    <s v="5 x 3"/>
    <x v="24"/>
    <n v="0"/>
    <n v="0"/>
    <n v="1"/>
    <n v="0"/>
    <n v="0"/>
    <n v="0"/>
    <n v="0"/>
  </r>
  <r>
    <x v="9"/>
    <s v="5 x 3"/>
    <x v="21"/>
    <n v="3"/>
    <n v="0"/>
    <n v="1"/>
    <n v="0"/>
    <n v="0"/>
    <n v="0"/>
    <n v="3000"/>
  </r>
  <r>
    <x v="9"/>
    <s v="5 x 3"/>
    <x v="25"/>
    <n v="0"/>
    <n v="0"/>
    <n v="0"/>
    <n v="1"/>
    <n v="0"/>
    <n v="0"/>
    <n v="0"/>
  </r>
  <r>
    <x v="9"/>
    <s v="5 x 3"/>
    <x v="18"/>
    <n v="0"/>
    <n v="1"/>
    <n v="0"/>
    <n v="1"/>
    <n v="0"/>
    <n v="0"/>
    <n v="1"/>
  </r>
  <r>
    <x v="9"/>
    <s v="5 x 3"/>
    <x v="10"/>
    <n v="0"/>
    <n v="0"/>
    <n v="0"/>
    <n v="1"/>
    <n v="0"/>
    <n v="0"/>
    <n v="0"/>
  </r>
  <r>
    <x v="9"/>
    <s v="5 x 3"/>
    <x v="19"/>
    <n v="1"/>
    <n v="1"/>
    <n v="0"/>
    <n v="1"/>
    <n v="0"/>
    <n v="0"/>
    <n v="1001"/>
  </r>
  <r>
    <x v="9"/>
    <s v="5 x 3"/>
    <x v="12"/>
    <n v="0"/>
    <n v="0"/>
    <n v="0"/>
    <n v="1"/>
    <n v="0"/>
    <n v="0"/>
    <n v="0"/>
  </r>
  <r>
    <x v="9"/>
    <s v="5 x 3"/>
    <x v="11"/>
    <n v="0"/>
    <n v="0"/>
    <n v="0"/>
    <n v="1"/>
    <n v="0"/>
    <n v="0"/>
    <n v="0"/>
  </r>
  <r>
    <x v="9"/>
    <s v="5 x 3"/>
    <x v="15"/>
    <n v="2"/>
    <n v="1"/>
    <n v="0"/>
    <n v="1"/>
    <n v="0"/>
    <n v="0"/>
    <n v="2001"/>
  </r>
  <r>
    <x v="10"/>
    <s v="6 x 6"/>
    <x v="18"/>
    <n v="0"/>
    <n v="0"/>
    <n v="0"/>
    <n v="0"/>
    <n v="1"/>
    <n v="0"/>
    <n v="0"/>
  </r>
  <r>
    <x v="10"/>
    <s v="6 x 6"/>
    <x v="19"/>
    <n v="0"/>
    <n v="2"/>
    <n v="0"/>
    <n v="0"/>
    <n v="1"/>
    <n v="0"/>
    <n v="2"/>
  </r>
  <r>
    <x v="10"/>
    <s v="6 x 6"/>
    <x v="21"/>
    <n v="2"/>
    <n v="1"/>
    <n v="0"/>
    <n v="0"/>
    <n v="1"/>
    <n v="0"/>
    <n v="2001"/>
  </r>
  <r>
    <x v="10"/>
    <s v="6 x 6"/>
    <x v="1"/>
    <n v="3"/>
    <n v="0"/>
    <n v="0"/>
    <n v="0"/>
    <n v="1"/>
    <n v="0"/>
    <n v="3000"/>
  </r>
  <r>
    <x v="10"/>
    <s v="6 x 6"/>
    <x v="12"/>
    <n v="1"/>
    <n v="2"/>
    <n v="0"/>
    <n v="0"/>
    <n v="1"/>
    <n v="0"/>
    <n v="1002"/>
  </r>
  <r>
    <x v="10"/>
    <s v="6 x 6"/>
    <x v="3"/>
    <n v="0"/>
    <n v="1"/>
    <n v="0"/>
    <n v="0"/>
    <n v="1"/>
    <n v="0"/>
    <n v="1"/>
  </r>
  <r>
    <x v="10"/>
    <s v="6 x 6"/>
    <x v="8"/>
    <n v="0"/>
    <n v="1"/>
    <n v="0"/>
    <n v="0"/>
    <n v="1"/>
    <n v="0"/>
    <n v="1"/>
  </r>
  <r>
    <x v="10"/>
    <s v="6 x 6"/>
    <x v="24"/>
    <n v="2"/>
    <n v="1"/>
    <n v="0"/>
    <n v="0"/>
    <n v="1"/>
    <n v="0"/>
    <n v="2001"/>
  </r>
  <r>
    <x v="10"/>
    <s v="6 x 6"/>
    <x v="11"/>
    <n v="1"/>
    <n v="1"/>
    <n v="0"/>
    <n v="0"/>
    <n v="1"/>
    <n v="0"/>
    <n v="1001"/>
  </r>
  <r>
    <x v="10"/>
    <s v="6 x 6"/>
    <x v="16"/>
    <n v="1"/>
    <n v="0"/>
    <n v="0"/>
    <n v="0"/>
    <n v="1"/>
    <n v="0"/>
    <n v="1000"/>
  </r>
  <r>
    <x v="10"/>
    <s v="6 x 6"/>
    <x v="20"/>
    <n v="2"/>
    <n v="1"/>
    <n v="0"/>
    <n v="0"/>
    <n v="1"/>
    <n v="0"/>
    <n v="2001"/>
  </r>
  <r>
    <x v="10"/>
    <s v="6 x 6"/>
    <x v="28"/>
    <n v="0"/>
    <n v="0"/>
    <n v="0"/>
    <n v="0"/>
    <n v="1"/>
    <n v="0"/>
    <n v="0"/>
  </r>
  <r>
    <x v="11"/>
    <s v="9 x 7"/>
    <x v="8"/>
    <n v="0"/>
    <n v="0"/>
    <n v="1"/>
    <n v="0"/>
    <n v="0"/>
    <n v="0"/>
    <n v="0"/>
  </r>
  <r>
    <x v="11"/>
    <s v="9 x 7"/>
    <x v="1"/>
    <n v="3"/>
    <n v="1"/>
    <n v="1"/>
    <n v="0"/>
    <n v="0"/>
    <n v="0"/>
    <n v="3001"/>
  </r>
  <r>
    <x v="11"/>
    <s v="9 x 7"/>
    <x v="11"/>
    <n v="1"/>
    <n v="1"/>
    <n v="1"/>
    <n v="0"/>
    <n v="0"/>
    <n v="0"/>
    <n v="1001"/>
  </r>
  <r>
    <x v="11"/>
    <s v="9 x 7"/>
    <x v="13"/>
    <n v="1"/>
    <n v="1"/>
    <n v="1"/>
    <n v="0"/>
    <n v="0"/>
    <n v="0"/>
    <n v="1001"/>
  </r>
  <r>
    <x v="11"/>
    <s v="9 x 7"/>
    <x v="19"/>
    <n v="0"/>
    <n v="2"/>
    <n v="1"/>
    <n v="0"/>
    <n v="0"/>
    <n v="0"/>
    <n v="2"/>
  </r>
  <r>
    <x v="11"/>
    <s v="9 x 7"/>
    <x v="12"/>
    <n v="1"/>
    <n v="0"/>
    <n v="1"/>
    <n v="0"/>
    <n v="0"/>
    <n v="0"/>
    <n v="1000"/>
  </r>
  <r>
    <x v="11"/>
    <s v="9 x 7"/>
    <x v="21"/>
    <n v="1"/>
    <n v="1"/>
    <n v="1"/>
    <n v="0"/>
    <n v="0"/>
    <n v="0"/>
    <n v="1001"/>
  </r>
  <r>
    <x v="11"/>
    <s v="9 x 7"/>
    <x v="18"/>
    <n v="1"/>
    <n v="0"/>
    <n v="0"/>
    <n v="1"/>
    <n v="0"/>
    <n v="0"/>
    <n v="1000"/>
  </r>
  <r>
    <x v="11"/>
    <s v="9 x 7"/>
    <x v="20"/>
    <n v="0"/>
    <n v="0"/>
    <n v="0"/>
    <n v="1"/>
    <n v="0"/>
    <n v="0"/>
    <n v="0"/>
  </r>
  <r>
    <x v="11"/>
    <s v="9 x 7"/>
    <x v="28"/>
    <n v="0"/>
    <n v="0"/>
    <n v="0"/>
    <n v="1"/>
    <n v="0"/>
    <n v="0"/>
    <n v="0"/>
  </r>
  <r>
    <x v="11"/>
    <s v="9 x 7"/>
    <x v="24"/>
    <n v="1"/>
    <n v="1"/>
    <n v="0"/>
    <n v="1"/>
    <n v="0"/>
    <n v="0"/>
    <n v="1001"/>
  </r>
  <r>
    <x v="11"/>
    <s v="9 x 7"/>
    <x v="3"/>
    <n v="1"/>
    <n v="3"/>
    <n v="0"/>
    <n v="1"/>
    <n v="0"/>
    <n v="0"/>
    <n v="1003"/>
  </r>
  <r>
    <x v="11"/>
    <s v="9 x 7"/>
    <x v="16"/>
    <n v="3"/>
    <n v="3"/>
    <n v="0"/>
    <n v="1"/>
    <n v="0"/>
    <n v="0"/>
    <n v="3003"/>
  </r>
  <r>
    <x v="11"/>
    <s v="9 x 7"/>
    <x v="15"/>
    <n v="3"/>
    <n v="2"/>
    <n v="0"/>
    <n v="1"/>
    <n v="0"/>
    <n v="0"/>
    <n v="3002"/>
  </r>
  <r>
    <x v="12"/>
    <s v="12 x 6"/>
    <x v="18"/>
    <n v="0"/>
    <n v="0"/>
    <n v="0"/>
    <n v="1"/>
    <n v="0"/>
    <n v="0"/>
    <n v="0"/>
  </r>
  <r>
    <x v="12"/>
    <s v="12 x 6"/>
    <x v="14"/>
    <n v="2"/>
    <n v="2"/>
    <n v="0"/>
    <n v="1"/>
    <n v="0"/>
    <n v="0"/>
    <n v="2002"/>
  </r>
  <r>
    <x v="12"/>
    <s v="12 x 6"/>
    <x v="16"/>
    <n v="1"/>
    <n v="0"/>
    <n v="0"/>
    <n v="1"/>
    <n v="0"/>
    <n v="0"/>
    <n v="1000"/>
  </r>
  <r>
    <x v="12"/>
    <s v="12 x 6"/>
    <x v="1"/>
    <n v="0"/>
    <n v="2"/>
    <n v="0"/>
    <n v="1"/>
    <n v="0"/>
    <n v="0"/>
    <n v="2"/>
  </r>
  <r>
    <x v="12"/>
    <s v="12 x 6"/>
    <x v="3"/>
    <n v="0"/>
    <n v="0"/>
    <n v="0"/>
    <n v="1"/>
    <n v="0"/>
    <n v="0"/>
    <n v="0"/>
  </r>
  <r>
    <x v="12"/>
    <s v="12 x 6"/>
    <x v="29"/>
    <n v="1"/>
    <n v="1"/>
    <n v="0"/>
    <n v="1"/>
    <n v="0"/>
    <n v="0"/>
    <n v="1001"/>
  </r>
  <r>
    <x v="12"/>
    <s v="12 x 6"/>
    <x v="21"/>
    <n v="2"/>
    <n v="1"/>
    <n v="0"/>
    <n v="1"/>
    <n v="0"/>
    <n v="0"/>
    <n v="2001"/>
  </r>
  <r>
    <x v="12"/>
    <s v="12 x 6"/>
    <x v="8"/>
    <n v="1"/>
    <n v="1"/>
    <n v="1"/>
    <n v="0"/>
    <n v="0"/>
    <n v="0"/>
    <n v="1001"/>
  </r>
  <r>
    <x v="12"/>
    <s v="12 x 6"/>
    <x v="28"/>
    <n v="1"/>
    <n v="0"/>
    <n v="1"/>
    <n v="0"/>
    <n v="0"/>
    <n v="0"/>
    <n v="1000"/>
  </r>
  <r>
    <x v="12"/>
    <s v="12 x 6"/>
    <x v="20"/>
    <n v="1"/>
    <n v="0"/>
    <n v="1"/>
    <n v="0"/>
    <n v="0"/>
    <n v="0"/>
    <n v="1000"/>
  </r>
  <r>
    <x v="12"/>
    <s v="12 x 6"/>
    <x v="30"/>
    <n v="0"/>
    <n v="0"/>
    <n v="1"/>
    <n v="0"/>
    <n v="0"/>
    <n v="0"/>
    <n v="0"/>
  </r>
  <r>
    <x v="12"/>
    <s v="12 x 6"/>
    <x v="24"/>
    <n v="3"/>
    <n v="0"/>
    <n v="1"/>
    <n v="0"/>
    <n v="0"/>
    <n v="0"/>
    <n v="3000"/>
  </r>
  <r>
    <x v="12"/>
    <s v="12 x 6"/>
    <x v="19"/>
    <n v="4"/>
    <n v="4"/>
    <n v="1"/>
    <n v="0"/>
    <n v="0"/>
    <n v="0"/>
    <n v="4004"/>
  </r>
  <r>
    <x v="12"/>
    <s v="12 x 6"/>
    <x v="11"/>
    <n v="2"/>
    <n v="3"/>
    <n v="1"/>
    <n v="0"/>
    <n v="0"/>
    <n v="0"/>
    <n v="2003"/>
  </r>
  <r>
    <x v="13"/>
    <s v="6 x 6"/>
    <x v="3"/>
    <n v="0"/>
    <n v="0"/>
    <n v="0"/>
    <n v="0"/>
    <n v="1"/>
    <n v="0"/>
    <n v="0"/>
  </r>
  <r>
    <x v="13"/>
    <s v="6 x 6"/>
    <x v="24"/>
    <n v="1"/>
    <n v="1"/>
    <n v="0"/>
    <n v="0"/>
    <n v="1"/>
    <n v="0"/>
    <n v="1001"/>
  </r>
  <r>
    <x v="13"/>
    <s v="6 x 6"/>
    <x v="17"/>
    <n v="0"/>
    <n v="0"/>
    <n v="0"/>
    <n v="0"/>
    <n v="1"/>
    <n v="0"/>
    <n v="0"/>
  </r>
  <r>
    <x v="13"/>
    <s v="6 x 6"/>
    <x v="8"/>
    <n v="2"/>
    <n v="0"/>
    <n v="0"/>
    <n v="0"/>
    <n v="1"/>
    <n v="0"/>
    <n v="2000"/>
  </r>
  <r>
    <x v="13"/>
    <s v="6 x 6"/>
    <x v="13"/>
    <n v="1"/>
    <n v="0"/>
    <n v="0"/>
    <n v="0"/>
    <n v="1"/>
    <n v="0"/>
    <n v="1000"/>
  </r>
  <r>
    <x v="13"/>
    <s v="6 x 6"/>
    <x v="11"/>
    <n v="1"/>
    <n v="3"/>
    <n v="0"/>
    <n v="0"/>
    <n v="1"/>
    <n v="0"/>
    <n v="1003"/>
  </r>
  <r>
    <x v="13"/>
    <s v="6 x 6"/>
    <x v="21"/>
    <n v="1"/>
    <n v="1"/>
    <n v="0"/>
    <n v="0"/>
    <n v="1"/>
    <n v="0"/>
    <n v="1001"/>
  </r>
  <r>
    <x v="13"/>
    <s v="6 x 6"/>
    <x v="1"/>
    <n v="0"/>
    <n v="2"/>
    <n v="0"/>
    <n v="0"/>
    <n v="1"/>
    <n v="0"/>
    <n v="2"/>
  </r>
  <r>
    <x v="13"/>
    <s v="6 x 6"/>
    <x v="12"/>
    <n v="0"/>
    <n v="0"/>
    <n v="0"/>
    <n v="0"/>
    <n v="1"/>
    <n v="0"/>
    <n v="0"/>
  </r>
  <r>
    <x v="13"/>
    <s v="6 x 6"/>
    <x v="19"/>
    <n v="1"/>
    <n v="1"/>
    <n v="0"/>
    <n v="0"/>
    <n v="1"/>
    <n v="0"/>
    <n v="1001"/>
  </r>
  <r>
    <x v="13"/>
    <s v="6 x 6"/>
    <x v="18"/>
    <n v="0"/>
    <n v="0"/>
    <n v="0"/>
    <n v="0"/>
    <n v="1"/>
    <n v="0"/>
    <n v="0"/>
  </r>
  <r>
    <x v="13"/>
    <s v="6 x 6"/>
    <x v="20"/>
    <n v="2"/>
    <n v="0"/>
    <n v="0"/>
    <n v="0"/>
    <n v="1"/>
    <n v="0"/>
    <n v="2000"/>
  </r>
  <r>
    <x v="13"/>
    <s v="6 x 6"/>
    <x v="15"/>
    <n v="4"/>
    <n v="0"/>
    <n v="0"/>
    <n v="0"/>
    <n v="1"/>
    <n v="0"/>
    <n v="4000"/>
  </r>
  <r>
    <x v="13"/>
    <s v="6 x 6"/>
    <x v="28"/>
    <n v="0"/>
    <n v="2"/>
    <n v="0"/>
    <n v="0"/>
    <n v="1"/>
    <n v="0"/>
    <n v="2"/>
  </r>
  <r>
    <x v="14"/>
    <s v="2 x 3"/>
    <x v="0"/>
    <n v="1"/>
    <n v="0"/>
    <n v="0"/>
    <n v="1"/>
    <n v="0"/>
    <n v="0"/>
    <n v="1000"/>
  </r>
  <r>
    <x v="14"/>
    <s v="2 x 3"/>
    <x v="14"/>
    <n v="2"/>
    <n v="1"/>
    <n v="0"/>
    <n v="1"/>
    <n v="0"/>
    <n v="0"/>
    <n v="2001"/>
  </r>
  <r>
    <x v="14"/>
    <s v="2 x 3"/>
    <x v="20"/>
    <n v="0"/>
    <n v="0"/>
    <n v="0"/>
    <n v="1"/>
    <n v="0"/>
    <n v="0"/>
    <n v="0"/>
  </r>
  <r>
    <x v="14"/>
    <s v="2 x 3"/>
    <x v="1"/>
    <n v="0"/>
    <n v="1"/>
    <n v="0"/>
    <n v="1"/>
    <n v="0"/>
    <n v="0"/>
    <n v="1"/>
  </r>
  <r>
    <x v="14"/>
    <s v="2 x 3"/>
    <x v="19"/>
    <n v="1"/>
    <n v="0"/>
    <n v="0"/>
    <n v="1"/>
    <n v="0"/>
    <n v="0"/>
    <n v="1000"/>
  </r>
  <r>
    <x v="14"/>
    <s v="2 x 3"/>
    <x v="21"/>
    <n v="1"/>
    <n v="0"/>
    <n v="0"/>
    <n v="1"/>
    <n v="0"/>
    <n v="0"/>
    <n v="1000"/>
  </r>
  <r>
    <x v="14"/>
    <s v="2 x 3"/>
    <x v="11"/>
    <n v="0"/>
    <n v="1"/>
    <n v="0"/>
    <n v="1"/>
    <n v="0"/>
    <n v="0"/>
    <n v="1"/>
  </r>
  <r>
    <x v="14"/>
    <s v="2 x 3"/>
    <x v="17"/>
    <n v="0"/>
    <n v="0"/>
    <n v="1"/>
    <n v="0"/>
    <n v="0"/>
    <n v="0"/>
    <n v="0"/>
  </r>
  <r>
    <x v="14"/>
    <s v="2 x 3"/>
    <x v="8"/>
    <n v="0"/>
    <n v="0"/>
    <n v="1"/>
    <n v="0"/>
    <n v="0"/>
    <n v="0"/>
    <n v="0"/>
  </r>
  <r>
    <x v="14"/>
    <s v="2 x 3"/>
    <x v="18"/>
    <n v="0"/>
    <n v="0"/>
    <n v="1"/>
    <n v="0"/>
    <n v="0"/>
    <n v="0"/>
    <n v="0"/>
  </r>
  <r>
    <x v="14"/>
    <s v="2 x 3"/>
    <x v="3"/>
    <n v="0"/>
    <n v="0"/>
    <n v="1"/>
    <n v="0"/>
    <n v="0"/>
    <n v="0"/>
    <n v="0"/>
  </r>
  <r>
    <x v="14"/>
    <s v="2 x 3"/>
    <x v="13"/>
    <n v="3"/>
    <n v="2"/>
    <n v="1"/>
    <n v="0"/>
    <n v="0"/>
    <n v="0"/>
    <n v="3002"/>
  </r>
  <r>
    <x v="14"/>
    <s v="2 x 3"/>
    <x v="22"/>
    <n v="0"/>
    <n v="2"/>
    <n v="1"/>
    <n v="0"/>
    <n v="0"/>
    <n v="0"/>
    <n v="2"/>
  </r>
  <r>
    <x v="14"/>
    <s v="2 x 3"/>
    <x v="15"/>
    <n v="2"/>
    <n v="1"/>
    <n v="1"/>
    <n v="0"/>
    <n v="0"/>
    <n v="0"/>
    <n v="2001"/>
  </r>
  <r>
    <x v="15"/>
    <s v="4 x 5"/>
    <x v="8"/>
    <n v="0"/>
    <n v="2"/>
    <n v="0"/>
    <n v="1"/>
    <n v="0"/>
    <n v="0"/>
    <n v="2"/>
  </r>
  <r>
    <x v="15"/>
    <s v="4 x 5"/>
    <x v="3"/>
    <n v="0"/>
    <n v="0"/>
    <n v="0"/>
    <n v="1"/>
    <n v="0"/>
    <n v="0"/>
    <n v="0"/>
  </r>
  <r>
    <x v="15"/>
    <s v="4 x 5"/>
    <x v="1"/>
    <n v="1"/>
    <n v="0"/>
    <n v="0"/>
    <n v="1"/>
    <n v="0"/>
    <n v="0"/>
    <n v="1000"/>
  </r>
  <r>
    <x v="15"/>
    <s v="4 x 5"/>
    <x v="13"/>
    <n v="0"/>
    <n v="1"/>
    <n v="0"/>
    <n v="1"/>
    <n v="0"/>
    <n v="0"/>
    <n v="1"/>
  </r>
  <r>
    <x v="15"/>
    <s v="4 x 5"/>
    <x v="28"/>
    <n v="1"/>
    <n v="0"/>
    <n v="0"/>
    <n v="1"/>
    <n v="0"/>
    <n v="0"/>
    <n v="1000"/>
  </r>
  <r>
    <x v="15"/>
    <s v="4 x 5"/>
    <x v="31"/>
    <n v="1"/>
    <n v="0"/>
    <n v="0"/>
    <n v="1"/>
    <n v="0"/>
    <n v="0"/>
    <n v="1000"/>
  </r>
  <r>
    <x v="15"/>
    <s v="4 x 5"/>
    <x v="11"/>
    <n v="1"/>
    <n v="1"/>
    <n v="0"/>
    <n v="1"/>
    <n v="0"/>
    <n v="0"/>
    <n v="1001"/>
  </r>
  <r>
    <x v="15"/>
    <s v="4 x 5"/>
    <x v="18"/>
    <n v="1"/>
    <n v="0"/>
    <n v="1"/>
    <n v="0"/>
    <n v="0"/>
    <n v="0"/>
    <n v="1000"/>
  </r>
  <r>
    <x v="15"/>
    <s v="4 x 5"/>
    <x v="12"/>
    <n v="0"/>
    <n v="0"/>
    <n v="1"/>
    <n v="0"/>
    <n v="0"/>
    <n v="0"/>
    <n v="0"/>
  </r>
  <r>
    <x v="15"/>
    <s v="4 x 5"/>
    <x v="20"/>
    <n v="0"/>
    <n v="1"/>
    <n v="1"/>
    <n v="0"/>
    <n v="0"/>
    <n v="0"/>
    <n v="1"/>
  </r>
  <r>
    <x v="15"/>
    <s v="4 x 5"/>
    <x v="19"/>
    <n v="2"/>
    <n v="1"/>
    <n v="1"/>
    <n v="0"/>
    <n v="0"/>
    <n v="0"/>
    <n v="2001"/>
  </r>
  <r>
    <x v="15"/>
    <s v="4 x 5"/>
    <x v="24"/>
    <n v="0"/>
    <n v="0"/>
    <n v="1"/>
    <n v="0"/>
    <n v="0"/>
    <n v="0"/>
    <n v="0"/>
  </r>
  <r>
    <x v="15"/>
    <s v="4 x 5"/>
    <x v="30"/>
    <n v="2"/>
    <n v="1"/>
    <n v="1"/>
    <n v="0"/>
    <n v="0"/>
    <n v="0"/>
    <n v="2001"/>
  </r>
  <r>
    <x v="15"/>
    <s v="4 x 5"/>
    <x v="21"/>
    <n v="0"/>
    <n v="0"/>
    <n v="1"/>
    <n v="0"/>
    <n v="0"/>
    <n v="0"/>
    <n v="0"/>
  </r>
  <r>
    <x v="16"/>
    <s v="6 x 5"/>
    <x v="12"/>
    <n v="0"/>
    <n v="1"/>
    <n v="1"/>
    <n v="0"/>
    <n v="0"/>
    <n v="0"/>
    <n v="1"/>
  </r>
  <r>
    <x v="16"/>
    <s v="6 x 5"/>
    <x v="10"/>
    <n v="1"/>
    <n v="1"/>
    <n v="1"/>
    <n v="0"/>
    <n v="0"/>
    <n v="0"/>
    <n v="1001"/>
  </r>
  <r>
    <x v="16"/>
    <s v="6 x 5"/>
    <x v="28"/>
    <n v="0"/>
    <n v="0"/>
    <n v="1"/>
    <n v="0"/>
    <n v="0"/>
    <n v="0"/>
    <n v="0"/>
  </r>
  <r>
    <x v="16"/>
    <s v="6 x 5"/>
    <x v="18"/>
    <n v="0"/>
    <n v="0"/>
    <n v="1"/>
    <n v="0"/>
    <n v="0"/>
    <n v="0"/>
    <n v="0"/>
  </r>
  <r>
    <x v="16"/>
    <s v="6 x 5"/>
    <x v="19"/>
    <n v="0"/>
    <n v="1"/>
    <n v="1"/>
    <n v="0"/>
    <n v="0"/>
    <n v="0"/>
    <n v="1"/>
  </r>
  <r>
    <x v="16"/>
    <s v="6 x 5"/>
    <x v="26"/>
    <n v="0"/>
    <n v="0"/>
    <n v="1"/>
    <n v="0"/>
    <n v="0"/>
    <n v="0"/>
    <n v="0"/>
  </r>
  <r>
    <x v="16"/>
    <s v="6 x 5"/>
    <x v="15"/>
    <n v="5"/>
    <n v="0"/>
    <n v="1"/>
    <n v="0"/>
    <n v="0"/>
    <n v="0"/>
    <n v="5000"/>
  </r>
  <r>
    <x v="16"/>
    <s v="6 x 5"/>
    <x v="0"/>
    <n v="0"/>
    <n v="0"/>
    <n v="0"/>
    <n v="1"/>
    <n v="0"/>
    <n v="0"/>
    <n v="0"/>
  </r>
  <r>
    <x v="16"/>
    <s v="6 x 5"/>
    <x v="14"/>
    <n v="0"/>
    <n v="0"/>
    <n v="0"/>
    <n v="1"/>
    <n v="0"/>
    <n v="0"/>
    <n v="0"/>
  </r>
  <r>
    <x v="16"/>
    <s v="6 x 5"/>
    <x v="1"/>
    <n v="1"/>
    <n v="0"/>
    <n v="0"/>
    <n v="1"/>
    <n v="0"/>
    <n v="0"/>
    <n v="1000"/>
  </r>
  <r>
    <x v="16"/>
    <s v="6 x 5"/>
    <x v="13"/>
    <n v="2"/>
    <n v="1"/>
    <n v="0"/>
    <n v="1"/>
    <n v="0"/>
    <n v="0"/>
    <n v="2001"/>
  </r>
  <r>
    <x v="16"/>
    <s v="6 x 5"/>
    <x v="24"/>
    <n v="0"/>
    <n v="0"/>
    <n v="0"/>
    <n v="1"/>
    <n v="0"/>
    <n v="0"/>
    <n v="0"/>
  </r>
  <r>
    <x v="16"/>
    <s v="6 x 5"/>
    <x v="21"/>
    <n v="2"/>
    <n v="0"/>
    <n v="0"/>
    <n v="1"/>
    <n v="0"/>
    <n v="0"/>
    <n v="2000"/>
  </r>
  <r>
    <x v="16"/>
    <s v="6 x 5"/>
    <x v="11"/>
    <n v="0"/>
    <n v="3"/>
    <n v="0"/>
    <n v="1"/>
    <n v="0"/>
    <n v="0"/>
    <n v="3"/>
  </r>
  <r>
    <x v="17"/>
    <s v="5 x 3"/>
    <x v="0"/>
    <n v="0"/>
    <n v="0"/>
    <n v="0"/>
    <n v="1"/>
    <n v="0"/>
    <n v="0"/>
    <n v="0"/>
  </r>
  <r>
    <x v="17"/>
    <s v="5 x 3"/>
    <x v="18"/>
    <n v="0"/>
    <n v="1"/>
    <n v="0"/>
    <n v="1"/>
    <n v="0"/>
    <n v="0"/>
    <n v="1"/>
  </r>
  <r>
    <x v="17"/>
    <s v="5 x 3"/>
    <x v="14"/>
    <n v="1"/>
    <n v="0"/>
    <n v="0"/>
    <n v="1"/>
    <n v="0"/>
    <n v="0"/>
    <n v="1000"/>
  </r>
  <r>
    <x v="17"/>
    <s v="5 x 3"/>
    <x v="13"/>
    <n v="1"/>
    <n v="0"/>
    <n v="0"/>
    <n v="1"/>
    <n v="0"/>
    <n v="0"/>
    <n v="1000"/>
  </r>
  <r>
    <x v="17"/>
    <s v="5 x 3"/>
    <x v="32"/>
    <n v="0"/>
    <n v="0"/>
    <n v="0"/>
    <n v="1"/>
    <n v="0"/>
    <n v="0"/>
    <n v="0"/>
  </r>
  <r>
    <x v="17"/>
    <s v="5 x 3"/>
    <x v="1"/>
    <n v="0"/>
    <n v="1"/>
    <n v="0"/>
    <n v="1"/>
    <n v="0"/>
    <n v="0"/>
    <n v="1"/>
  </r>
  <r>
    <x v="17"/>
    <s v="5 x 3"/>
    <x v="24"/>
    <n v="1"/>
    <n v="0"/>
    <n v="0"/>
    <n v="1"/>
    <n v="0"/>
    <n v="0"/>
    <n v="1000"/>
  </r>
  <r>
    <x v="17"/>
    <s v="5 x 3"/>
    <x v="8"/>
    <n v="0"/>
    <n v="0"/>
    <n v="1"/>
    <n v="0"/>
    <n v="0"/>
    <n v="0"/>
    <n v="0"/>
  </r>
  <r>
    <x v="17"/>
    <s v="5 x 3"/>
    <x v="10"/>
    <n v="1"/>
    <n v="0"/>
    <n v="1"/>
    <n v="0"/>
    <n v="0"/>
    <n v="0"/>
    <n v="1000"/>
  </r>
  <r>
    <x v="17"/>
    <s v="5 x 3"/>
    <x v="26"/>
    <n v="1"/>
    <n v="0"/>
    <n v="1"/>
    <n v="0"/>
    <n v="0"/>
    <n v="0"/>
    <n v="1000"/>
  </r>
  <r>
    <x v="17"/>
    <s v="5 x 3"/>
    <x v="11"/>
    <n v="1"/>
    <n v="2"/>
    <n v="1"/>
    <n v="0"/>
    <n v="0"/>
    <n v="0"/>
    <n v="1002"/>
  </r>
  <r>
    <x v="17"/>
    <s v="5 x 3"/>
    <x v="19"/>
    <n v="1"/>
    <n v="0"/>
    <n v="1"/>
    <n v="0"/>
    <n v="0"/>
    <n v="0"/>
    <n v="1000"/>
  </r>
  <r>
    <x v="17"/>
    <s v="5 x 3"/>
    <x v="7"/>
    <n v="0"/>
    <n v="0"/>
    <n v="1"/>
    <n v="0"/>
    <n v="0"/>
    <n v="0"/>
    <n v="0"/>
  </r>
  <r>
    <x v="17"/>
    <s v="5 x 3"/>
    <x v="31"/>
    <n v="1"/>
    <n v="1"/>
    <n v="1"/>
    <n v="0"/>
    <n v="0"/>
    <n v="0"/>
    <n v="1001"/>
  </r>
  <r>
    <x v="18"/>
    <s v="9 X 6"/>
    <x v="0"/>
    <n v="0"/>
    <n v="1"/>
    <n v="1"/>
    <n v="0"/>
    <n v="0"/>
    <n v="0"/>
    <n v="1"/>
  </r>
  <r>
    <x v="18"/>
    <s v="9 X 6"/>
    <x v="32"/>
    <n v="0"/>
    <n v="0"/>
    <n v="1"/>
    <n v="0"/>
    <n v="0"/>
    <n v="0"/>
    <n v="0"/>
  </r>
  <r>
    <x v="18"/>
    <s v="9 X 6"/>
    <x v="12"/>
    <n v="1"/>
    <n v="2"/>
    <n v="1"/>
    <n v="0"/>
    <n v="0"/>
    <n v="0"/>
    <n v="1002"/>
  </r>
  <r>
    <x v="18"/>
    <s v="9 X 6"/>
    <x v="3"/>
    <n v="1"/>
    <n v="0"/>
    <n v="1"/>
    <n v="0"/>
    <n v="0"/>
    <n v="0"/>
    <n v="1000"/>
  </r>
  <r>
    <x v="18"/>
    <s v="9 X 6"/>
    <x v="19"/>
    <n v="1"/>
    <n v="1"/>
    <n v="1"/>
    <n v="0"/>
    <n v="0"/>
    <n v="0"/>
    <n v="1001"/>
  </r>
  <r>
    <x v="18"/>
    <s v="9 X 6"/>
    <x v="13"/>
    <n v="3"/>
    <n v="0"/>
    <n v="1"/>
    <n v="0"/>
    <n v="0"/>
    <n v="0"/>
    <n v="3000"/>
  </r>
  <r>
    <x v="18"/>
    <s v="9 X 6"/>
    <x v="26"/>
    <n v="3"/>
    <n v="2"/>
    <n v="1"/>
    <n v="0"/>
    <n v="0"/>
    <n v="0"/>
    <n v="3002"/>
  </r>
  <r>
    <x v="18"/>
    <s v="9 X 6"/>
    <x v="18"/>
    <n v="0"/>
    <n v="1"/>
    <n v="0"/>
    <n v="1"/>
    <n v="0"/>
    <n v="0"/>
    <n v="1"/>
  </r>
  <r>
    <x v="18"/>
    <s v="9 X 6"/>
    <x v="10"/>
    <n v="2"/>
    <n v="0"/>
    <n v="0"/>
    <n v="1"/>
    <n v="0"/>
    <n v="0"/>
    <n v="2000"/>
  </r>
  <r>
    <x v="18"/>
    <s v="9 X 6"/>
    <x v="28"/>
    <n v="1"/>
    <n v="0"/>
    <n v="0"/>
    <n v="1"/>
    <n v="0"/>
    <n v="0"/>
    <n v="1000"/>
  </r>
  <r>
    <x v="18"/>
    <s v="9 X 6"/>
    <x v="24"/>
    <n v="1"/>
    <n v="1"/>
    <n v="0"/>
    <n v="1"/>
    <n v="0"/>
    <n v="0"/>
    <n v="1001"/>
  </r>
  <r>
    <x v="18"/>
    <s v="9 X 6"/>
    <x v="31"/>
    <n v="0"/>
    <n v="0"/>
    <n v="0"/>
    <n v="1"/>
    <n v="0"/>
    <n v="0"/>
    <n v="0"/>
  </r>
  <r>
    <x v="18"/>
    <s v="9 X 6"/>
    <x v="7"/>
    <n v="2"/>
    <n v="1"/>
    <n v="0"/>
    <n v="1"/>
    <n v="0"/>
    <n v="0"/>
    <n v="2001"/>
  </r>
  <r>
    <x v="18"/>
    <s v="9 X 6"/>
    <x v="22"/>
    <n v="0"/>
    <n v="0"/>
    <n v="0"/>
    <n v="1"/>
    <n v="0"/>
    <n v="0"/>
    <n v="0"/>
  </r>
  <r>
    <x v="19"/>
    <s v="3 X 2"/>
    <x v="0"/>
    <n v="0"/>
    <n v="0"/>
    <n v="1"/>
    <n v="0"/>
    <n v="0"/>
    <n v="0"/>
    <n v="0"/>
  </r>
  <r>
    <x v="19"/>
    <s v="3 X 2"/>
    <x v="7"/>
    <n v="0"/>
    <n v="1"/>
    <n v="1"/>
    <n v="0"/>
    <n v="0"/>
    <n v="0"/>
    <n v="1"/>
  </r>
  <r>
    <x v="19"/>
    <s v="3 X 2"/>
    <x v="18"/>
    <n v="0"/>
    <n v="1"/>
    <n v="1"/>
    <n v="0"/>
    <n v="0"/>
    <n v="0"/>
    <n v="1"/>
  </r>
  <r>
    <x v="19"/>
    <s v="3 X 2"/>
    <x v="1"/>
    <n v="0"/>
    <n v="1"/>
    <n v="1"/>
    <n v="0"/>
    <n v="0"/>
    <n v="0"/>
    <n v="1"/>
  </r>
  <r>
    <x v="19"/>
    <s v="3 X 2"/>
    <x v="15"/>
    <n v="3"/>
    <n v="0"/>
    <n v="1"/>
    <n v="0"/>
    <n v="0"/>
    <n v="0"/>
    <n v="3000"/>
  </r>
  <r>
    <x v="19"/>
    <s v="3 X 2"/>
    <x v="24"/>
    <n v="0"/>
    <n v="0"/>
    <n v="1"/>
    <n v="0"/>
    <n v="0"/>
    <n v="0"/>
    <n v="0"/>
  </r>
  <r>
    <x v="19"/>
    <s v="3 X 2"/>
    <x v="3"/>
    <n v="0"/>
    <n v="0"/>
    <n v="1"/>
    <n v="0"/>
    <n v="0"/>
    <n v="0"/>
    <n v="0"/>
  </r>
  <r>
    <x v="19"/>
    <s v="3 X 2"/>
    <x v="32"/>
    <n v="0"/>
    <n v="0"/>
    <n v="0"/>
    <n v="1"/>
    <n v="0"/>
    <n v="0"/>
    <n v="0"/>
  </r>
  <r>
    <x v="19"/>
    <s v="3 X 2"/>
    <x v="13"/>
    <n v="1"/>
    <n v="1"/>
    <n v="0"/>
    <n v="1"/>
    <n v="0"/>
    <n v="0"/>
    <n v="1001"/>
  </r>
  <r>
    <x v="19"/>
    <s v="3 X 2"/>
    <x v="14"/>
    <n v="0"/>
    <n v="0"/>
    <n v="0"/>
    <n v="1"/>
    <n v="0"/>
    <n v="0"/>
    <n v="0"/>
  </r>
  <r>
    <x v="19"/>
    <s v="3 X 2"/>
    <x v="2"/>
    <n v="1"/>
    <n v="0"/>
    <n v="0"/>
    <n v="1"/>
    <n v="0"/>
    <n v="0"/>
    <n v="1000"/>
  </r>
  <r>
    <x v="19"/>
    <s v="3 X 2"/>
    <x v="8"/>
    <n v="0"/>
    <n v="0"/>
    <n v="0"/>
    <n v="1"/>
    <n v="0"/>
    <n v="0"/>
    <n v="0"/>
  </r>
  <r>
    <x v="19"/>
    <s v="3 X 2"/>
    <x v="12"/>
    <n v="0"/>
    <n v="1"/>
    <n v="0"/>
    <n v="1"/>
    <n v="0"/>
    <n v="0"/>
    <n v="1"/>
  </r>
  <r>
    <x v="19"/>
    <s v="3 X 2"/>
    <x v="1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3A7A1-B2D7-4D4D-BB6B-9A80739D746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Jogador">
  <location ref="A3:I37" firstHeaderRow="0" firstDataRow="1" firstDataCol="1" rowPageCount="1" colPageCount="1"/>
  <pivotFields count="10">
    <pivotField axis="axisPage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dataField="1" showAll="0" sortType="descending">
      <items count="52">
        <item x="17"/>
        <item m="1" x="41"/>
        <item x="22"/>
        <item x="21"/>
        <item m="1" x="45"/>
        <item m="1" x="39"/>
        <item x="20"/>
        <item m="1" x="46"/>
        <item m="1" x="38"/>
        <item x="15"/>
        <item m="1" x="35"/>
        <item m="1" x="40"/>
        <item x="19"/>
        <item m="1" x="37"/>
        <item m="1" x="43"/>
        <item m="1" x="36"/>
        <item x="5"/>
        <item m="1" x="50"/>
        <item m="1" x="34"/>
        <item x="4"/>
        <item x="9"/>
        <item x="23"/>
        <item x="3"/>
        <item m="1" x="33"/>
        <item x="24"/>
        <item x="11"/>
        <item x="0"/>
        <item x="25"/>
        <item x="26"/>
        <item x="27"/>
        <item m="1" x="44"/>
        <item x="28"/>
        <item m="1" x="49"/>
        <item m="1" x="42"/>
        <item x="30"/>
        <item m="1" x="48"/>
        <item x="1"/>
        <item x="31"/>
        <item m="1" x="47"/>
        <item x="12"/>
        <item x="18"/>
        <item x="13"/>
        <item x="2"/>
        <item x="6"/>
        <item x="7"/>
        <item x="8"/>
        <item x="10"/>
        <item x="14"/>
        <item x="16"/>
        <item x="29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4">
    <i>
      <x v="40"/>
    </i>
    <i>
      <x v="25"/>
    </i>
    <i>
      <x v="12"/>
    </i>
    <i>
      <x v="41"/>
    </i>
    <i>
      <x v="36"/>
    </i>
    <i>
      <x v="39"/>
    </i>
    <i>
      <x v="6"/>
    </i>
    <i>
      <x v="24"/>
    </i>
    <i>
      <x v="3"/>
    </i>
    <i>
      <x v="46"/>
    </i>
    <i>
      <x v="45"/>
    </i>
    <i>
      <x v="26"/>
    </i>
    <i>
      <x v="9"/>
    </i>
    <i>
      <x v="22"/>
    </i>
    <i>
      <x v="47"/>
    </i>
    <i>
      <x v="42"/>
    </i>
    <i>
      <x v="48"/>
    </i>
    <i>
      <x v="31"/>
    </i>
    <i>
      <x v="2"/>
    </i>
    <i>
      <x v="21"/>
    </i>
    <i>
      <x/>
    </i>
    <i>
      <x v="28"/>
    </i>
    <i>
      <x v="44"/>
    </i>
    <i>
      <x v="27"/>
    </i>
    <i>
      <x v="37"/>
    </i>
    <i>
      <x v="50"/>
    </i>
    <i>
      <x v="16"/>
    </i>
    <i>
      <x v="20"/>
    </i>
    <i>
      <x v="34"/>
    </i>
    <i>
      <x v="43"/>
    </i>
    <i>
      <x v="49"/>
    </i>
    <i>
      <x v="19"/>
    </i>
    <i>
      <x v="2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hier="-1"/>
  </pageFields>
  <dataFields count="8">
    <dataField name="Total de jogos" fld="2" subtotal="count" baseField="0" baseItem="0"/>
    <dataField name="Vitorias" fld="5" baseField="0" baseItem="0"/>
    <dataField name="Derrotas" fld="6" baseField="0" baseItem="0"/>
    <dataField name="Empates" fld="7" baseField="0" baseItem="0"/>
    <dataField name="Time mistos" fld="8" baseField="0" baseItem="0"/>
    <dataField name="Gols" fld="3" baseField="0" baseItem="0"/>
    <dataField name="Assistencias" fld="4" baseField="0" baseItem="0"/>
    <dataField name="Sum of Ordem" fld="9" baseField="0" baseItem="0"/>
  </dataFields>
  <formats count="30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2" type="button" dataOnly="0" labelOnly="1" outline="0" axis="axisRow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" type="button" dataOnly="0" labelOnly="1" outline="0" axis="axisRow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CCAEE-7E9B-4D6D-B8F8-FF7BD4590A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Jogador">
  <location ref="A1:D35" firstHeaderRow="0" firstDataRow="1" firstDataCol="1"/>
  <pivotFields count="10">
    <pivotField numFmtId="14" showAll="0"/>
    <pivotField showAll="0"/>
    <pivotField axis="axisRow" showAll="0" sortType="descending">
      <items count="52">
        <item x="17"/>
        <item m="1" x="41"/>
        <item x="22"/>
        <item x="21"/>
        <item m="1" x="45"/>
        <item m="1" x="39"/>
        <item x="20"/>
        <item m="1" x="46"/>
        <item m="1" x="38"/>
        <item x="15"/>
        <item m="1" x="35"/>
        <item m="1" x="40"/>
        <item x="19"/>
        <item m="1" x="37"/>
        <item m="1" x="43"/>
        <item m="1" x="36"/>
        <item x="5"/>
        <item m="1" x="50"/>
        <item m="1" x="34"/>
        <item x="4"/>
        <item x="9"/>
        <item x="23"/>
        <item x="3"/>
        <item m="1" x="33"/>
        <item x="24"/>
        <item x="11"/>
        <item x="0"/>
        <item x="25"/>
        <item x="26"/>
        <item x="27"/>
        <item m="1" x="44"/>
        <item x="28"/>
        <item m="1" x="49"/>
        <item m="1" x="42"/>
        <item x="30"/>
        <item m="1" x="48"/>
        <item x="1"/>
        <item x="31"/>
        <item m="1" x="47"/>
        <item x="12"/>
        <item x="18"/>
        <item x="13"/>
        <item x="2"/>
        <item x="6"/>
        <item x="7"/>
        <item x="8"/>
        <item x="10"/>
        <item x="14"/>
        <item x="16"/>
        <item x="29"/>
        <item x="3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showAll="0"/>
    <pivotField dataField="1" showAll="0"/>
  </pivotFields>
  <rowFields count="1">
    <field x="2"/>
  </rowFields>
  <rowItems count="34">
    <i>
      <x v="9"/>
    </i>
    <i>
      <x v="12"/>
    </i>
    <i>
      <x v="41"/>
    </i>
    <i>
      <x v="3"/>
    </i>
    <i>
      <x v="25"/>
    </i>
    <i>
      <x v="46"/>
    </i>
    <i>
      <x v="48"/>
    </i>
    <i>
      <x v="36"/>
    </i>
    <i>
      <x v="24"/>
    </i>
    <i>
      <x v="6"/>
    </i>
    <i>
      <x v="47"/>
    </i>
    <i>
      <x v="45"/>
    </i>
    <i>
      <x v="40"/>
    </i>
    <i>
      <x v="42"/>
    </i>
    <i>
      <x v="28"/>
    </i>
    <i>
      <x v="21"/>
    </i>
    <i>
      <x v="39"/>
    </i>
    <i>
      <x v="2"/>
    </i>
    <i>
      <x v="31"/>
    </i>
    <i>
      <x v="22"/>
    </i>
    <i>
      <x v="44"/>
    </i>
    <i>
      <x v="34"/>
    </i>
    <i>
      <x v="37"/>
    </i>
    <i>
      <x v="29"/>
    </i>
    <i>
      <x v="26"/>
    </i>
    <i>
      <x v="49"/>
    </i>
    <i>
      <x v="20"/>
    </i>
    <i>
      <x v="16"/>
    </i>
    <i>
      <x v="43"/>
    </i>
    <i>
      <x/>
    </i>
    <i>
      <x v="50"/>
    </i>
    <i>
      <x v="27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ols" fld="3" baseField="0" baseItem="0"/>
    <dataField name="Assistencias" fld="4" baseField="0" baseItem="0"/>
    <dataField name="Sum of Ordem" fld="9" baseField="0" baseItem="0"/>
  </dataFields>
  <formats count="18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2" type="button" dataOnly="0" labelOnly="1" outline="0" axis="axisRow" fieldPosition="0"/>
    </format>
    <format dxfId="98">
      <pivotArea dataOnly="0" labelOnly="1" fieldPosition="0">
        <references count="1">
          <reference field="2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2" type="button" dataOnly="0" labelOnly="1" outline="0" axis="axisRow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DA0A5-6880-483E-9C8F-43C40DE943EF}" name="Table1" displayName="Table1" ref="A1:J285" totalsRowShown="0" headerRowDxfId="89" dataDxfId="88">
  <autoFilter ref="A1:J285" xr:uid="{735DA0A5-6880-483E-9C8F-43C40DE943EF}"/>
  <tableColumns count="10">
    <tableColumn id="1" xr3:uid="{7E0F6817-3C5F-45D3-85D1-7223CC22CE68}" name="Date" dataDxfId="87"/>
    <tableColumn id="2" xr3:uid="{6D8ED8CE-D07F-4EEA-B56E-B67FEBCBFCFD}" name="Score" dataDxfId="86"/>
    <tableColumn id="3" xr3:uid="{16052D71-92F1-4811-AE00-9A1106245504}" name="Player" dataDxfId="85"/>
    <tableColumn id="4" xr3:uid="{810D6873-D6B2-40F5-8880-A98EC577F5A6}" name="Goals" dataDxfId="84"/>
    <tableColumn id="5" xr3:uid="{A8AF9823-CBF7-48EF-A740-3D090DA2ABBD}" name="Assists" dataDxfId="83"/>
    <tableColumn id="6" xr3:uid="{F26A9730-0FD1-4540-8371-94440A47D869}" name="Vitoria " dataDxfId="82"/>
    <tableColumn id="7" xr3:uid="{22D029AE-DC8A-4A10-8C8D-BAFD27E75BC9}" name="Derrota" dataDxfId="81"/>
    <tableColumn id="8" xr3:uid="{F7519543-D12A-4A5D-9752-EC65B294C616}" name="Empate" dataDxfId="80"/>
    <tableColumn id="10" xr3:uid="{1D9271D0-3ED1-4736-8F48-89B694EC47A7}" name="Time misto" dataDxfId="79"/>
    <tableColumn id="9" xr3:uid="{65967A72-F917-4A11-8E74-B48CED95D07B}" name="Ordem" dataDxfId="78">
      <calculatedColumnFormula>Table1[[#This Row],[Goals]]*1000 + Table1[[#This Row],[Assists]]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7BEF-7D98-493E-8BCF-5E9DA5BB95E7}">
  <dimension ref="A1:C36"/>
  <sheetViews>
    <sheetView topLeftCell="A6" workbookViewId="0">
      <selection activeCell="A35" sqref="A35"/>
    </sheetView>
  </sheetViews>
  <sheetFormatPr defaultRowHeight="15" x14ac:dyDescent="0.25"/>
  <cols>
    <col min="1" max="1" width="28.5703125" customWidth="1"/>
    <col min="3" max="3" width="66.7109375" customWidth="1"/>
  </cols>
  <sheetData>
    <row r="1" spans="1:3" ht="18.75" x14ac:dyDescent="0.3">
      <c r="A1" s="7" t="s">
        <v>66</v>
      </c>
      <c r="C1" s="6" t="s">
        <v>67</v>
      </c>
    </row>
    <row r="2" spans="1:3" x14ac:dyDescent="0.25">
      <c r="A2" s="9" t="s">
        <v>56</v>
      </c>
      <c r="C2" s="8" t="s">
        <v>68</v>
      </c>
    </row>
    <row r="3" spans="1:3" x14ac:dyDescent="0.25">
      <c r="A3" s="10" t="s">
        <v>4</v>
      </c>
      <c r="C3" s="8" t="s">
        <v>69</v>
      </c>
    </row>
    <row r="4" spans="1:3" x14ac:dyDescent="0.25">
      <c r="A4" s="10" t="s">
        <v>39</v>
      </c>
      <c r="C4" s="8" t="s">
        <v>70</v>
      </c>
    </row>
    <row r="5" spans="1:3" x14ac:dyDescent="0.25">
      <c r="A5" s="10" t="s">
        <v>28</v>
      </c>
      <c r="C5" s="8" t="s">
        <v>71</v>
      </c>
    </row>
    <row r="6" spans="1:3" x14ac:dyDescent="0.25">
      <c r="A6" s="10" t="s">
        <v>7</v>
      </c>
      <c r="C6" s="8" t="s">
        <v>72</v>
      </c>
    </row>
    <row r="7" spans="1:3" x14ac:dyDescent="0.25">
      <c r="A7" s="10" t="s">
        <v>46</v>
      </c>
    </row>
    <row r="8" spans="1:3" x14ac:dyDescent="0.25">
      <c r="A8" s="10" t="s">
        <v>5</v>
      </c>
    </row>
    <row r="9" spans="1:3" x14ac:dyDescent="0.25">
      <c r="A9" s="10" t="s">
        <v>57</v>
      </c>
    </row>
    <row r="10" spans="1:3" x14ac:dyDescent="0.25">
      <c r="A10" s="10" t="s">
        <v>34</v>
      </c>
    </row>
    <row r="11" spans="1:3" x14ac:dyDescent="0.25">
      <c r="A11" s="10" t="s">
        <v>40</v>
      </c>
    </row>
    <row r="12" spans="1:3" x14ac:dyDescent="0.25">
      <c r="A12" s="10" t="s">
        <v>6</v>
      </c>
    </row>
    <row r="13" spans="1:3" x14ac:dyDescent="0.25">
      <c r="A13" s="10" t="s">
        <v>59</v>
      </c>
    </row>
    <row r="14" spans="1:3" x14ac:dyDescent="0.25">
      <c r="A14" s="10" t="s">
        <v>55</v>
      </c>
    </row>
    <row r="15" spans="1:3" x14ac:dyDescent="0.25">
      <c r="A15" s="10" t="s">
        <v>44</v>
      </c>
    </row>
    <row r="16" spans="1:3" x14ac:dyDescent="0.25">
      <c r="A16" s="10" t="s">
        <v>60</v>
      </c>
    </row>
    <row r="17" spans="1:1" x14ac:dyDescent="0.25">
      <c r="A17" s="10" t="s">
        <v>65</v>
      </c>
    </row>
    <row r="18" spans="1:1" x14ac:dyDescent="0.25">
      <c r="A18" s="10" t="s">
        <v>41</v>
      </c>
    </row>
    <row r="19" spans="1:1" x14ac:dyDescent="0.25">
      <c r="A19" s="10" t="s">
        <v>49</v>
      </c>
    </row>
    <row r="20" spans="1:1" x14ac:dyDescent="0.25">
      <c r="A20" s="10" t="s">
        <v>63</v>
      </c>
    </row>
    <row r="21" spans="1:1" x14ac:dyDescent="0.25">
      <c r="A21" s="10" t="s">
        <v>33</v>
      </c>
    </row>
    <row r="22" spans="1:1" x14ac:dyDescent="0.25">
      <c r="A22" s="10" t="s">
        <v>58</v>
      </c>
    </row>
    <row r="23" spans="1:1" x14ac:dyDescent="0.25">
      <c r="A23" s="10" t="s">
        <v>11</v>
      </c>
    </row>
    <row r="24" spans="1:1" x14ac:dyDescent="0.25">
      <c r="A24" s="10" t="s">
        <v>61</v>
      </c>
    </row>
    <row r="25" spans="1:1" x14ac:dyDescent="0.25">
      <c r="A25" s="10" t="s">
        <v>52</v>
      </c>
    </row>
    <row r="26" spans="1:1" x14ac:dyDescent="0.25">
      <c r="A26" s="10" t="s">
        <v>53</v>
      </c>
    </row>
    <row r="27" spans="1:1" x14ac:dyDescent="0.25">
      <c r="A27" s="10" t="s">
        <v>43</v>
      </c>
    </row>
    <row r="28" spans="1:1" x14ac:dyDescent="0.25">
      <c r="A28" s="10" t="s">
        <v>62</v>
      </c>
    </row>
    <row r="29" spans="1:1" x14ac:dyDescent="0.25">
      <c r="A29" s="10" t="s">
        <v>42</v>
      </c>
    </row>
    <row r="30" spans="1:1" x14ac:dyDescent="0.25">
      <c r="A30" s="10" t="s">
        <v>54</v>
      </c>
    </row>
    <row r="31" spans="1:1" x14ac:dyDescent="0.25">
      <c r="A31" s="10" t="s">
        <v>26</v>
      </c>
    </row>
    <row r="32" spans="1:1" x14ac:dyDescent="0.25">
      <c r="A32" s="11" t="s">
        <v>64</v>
      </c>
    </row>
    <row r="33" spans="1:1" x14ac:dyDescent="0.25">
      <c r="A33" s="11" t="s">
        <v>12</v>
      </c>
    </row>
    <row r="34" spans="1:1" x14ac:dyDescent="0.25">
      <c r="A34" s="10" t="s">
        <v>93</v>
      </c>
    </row>
    <row r="35" spans="1:1" x14ac:dyDescent="0.25">
      <c r="A35" s="10"/>
    </row>
    <row r="36" spans="1:1" x14ac:dyDescent="0.25">
      <c r="A3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5"/>
  <sheetViews>
    <sheetView zoomScale="85" zoomScaleNormal="85" workbookViewId="0">
      <pane ySplit="1" topLeftCell="A253" activePane="bottomLeft" state="frozen"/>
      <selection pane="bottomLeft" activeCell="F276" sqref="F276"/>
    </sheetView>
  </sheetViews>
  <sheetFormatPr defaultRowHeight="18.75" x14ac:dyDescent="0.25"/>
  <cols>
    <col min="1" max="1" width="19.5703125" style="4" customWidth="1"/>
    <col min="2" max="2" width="18.5703125" style="4" customWidth="1"/>
    <col min="3" max="3" width="23.5703125" style="4" customWidth="1"/>
    <col min="4" max="5" width="9.140625" style="4"/>
    <col min="6" max="6" width="22.85546875" style="4" customWidth="1"/>
    <col min="7" max="7" width="15" style="4" customWidth="1"/>
    <col min="8" max="9" width="17.5703125" style="4" customWidth="1"/>
    <col min="10" max="10" width="18" style="4" customWidth="1"/>
    <col min="11" max="16384" width="9.140625" style="4"/>
  </cols>
  <sheetData>
    <row r="1" spans="1:10" x14ac:dyDescent="0.25">
      <c r="A1" s="4" t="s">
        <v>0</v>
      </c>
      <c r="B1" s="4" t="s">
        <v>8</v>
      </c>
      <c r="C1" s="4" t="s">
        <v>1</v>
      </c>
      <c r="D1" s="4" t="s">
        <v>2</v>
      </c>
      <c r="E1" s="4" t="s">
        <v>3</v>
      </c>
      <c r="F1" s="4" t="s">
        <v>16</v>
      </c>
      <c r="G1" s="4" t="s">
        <v>13</v>
      </c>
      <c r="H1" s="4" t="s">
        <v>17</v>
      </c>
      <c r="I1" s="4" t="s">
        <v>35</v>
      </c>
      <c r="J1" s="4" t="s">
        <v>29</v>
      </c>
    </row>
    <row r="2" spans="1:10" x14ac:dyDescent="0.25">
      <c r="A2" s="5">
        <v>46041</v>
      </c>
      <c r="B2" s="4" t="s">
        <v>9</v>
      </c>
      <c r="C2" s="4" t="s">
        <v>56</v>
      </c>
      <c r="D2" s="4">
        <v>0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f>Table1[[#This Row],[Goals]]*1000 + Table1[[#This Row],[Assists]]</f>
        <v>0</v>
      </c>
    </row>
    <row r="3" spans="1:10" x14ac:dyDescent="0.25">
      <c r="A3" s="5">
        <v>46041</v>
      </c>
      <c r="B3" s="4" t="s">
        <v>9</v>
      </c>
      <c r="C3" s="4" t="s">
        <v>57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0</v>
      </c>
      <c r="J3" s="4">
        <f>Table1[[#This Row],[Goals]]*1000 + Table1[[#This Row],[Assists]]</f>
        <v>1</v>
      </c>
    </row>
    <row r="4" spans="1:10" x14ac:dyDescent="0.25">
      <c r="A4" s="5">
        <v>46041</v>
      </c>
      <c r="B4" s="4" t="s">
        <v>9</v>
      </c>
      <c r="C4" s="4" t="s">
        <v>58</v>
      </c>
      <c r="D4" s="4">
        <v>1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4">
        <f>Table1[[#This Row],[Goals]]*1000 + Table1[[#This Row],[Assists]]</f>
        <v>1000</v>
      </c>
    </row>
    <row r="5" spans="1:10" x14ac:dyDescent="0.25">
      <c r="A5" s="5">
        <v>46041</v>
      </c>
      <c r="B5" s="4" t="s">
        <v>9</v>
      </c>
      <c r="C5" s="4" t="s">
        <v>4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0</v>
      </c>
      <c r="J5" s="4">
        <f>Table1[[#This Row],[Goals]]*1000 + Table1[[#This Row],[Assists]]</f>
        <v>0</v>
      </c>
    </row>
    <row r="6" spans="1:10" x14ac:dyDescent="0.25">
      <c r="A6" s="5">
        <v>46041</v>
      </c>
      <c r="B6" s="4" t="s">
        <v>9</v>
      </c>
      <c r="C6" s="4" t="s">
        <v>5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f>Table1[[#This Row],[Goals]]*1000 + Table1[[#This Row],[Assists]]</f>
        <v>0</v>
      </c>
    </row>
    <row r="7" spans="1:10" x14ac:dyDescent="0.25">
      <c r="A7" s="5">
        <v>46041</v>
      </c>
      <c r="B7" s="4" t="s">
        <v>9</v>
      </c>
      <c r="C7" s="4" t="s">
        <v>6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f>Table1[[#This Row],[Goals]]*1000 + Table1[[#This Row],[Assists]]</f>
        <v>0</v>
      </c>
    </row>
    <row r="8" spans="1:10" x14ac:dyDescent="0.25">
      <c r="A8" s="5">
        <v>46041</v>
      </c>
      <c r="B8" s="4" t="s">
        <v>9</v>
      </c>
      <c r="C8" s="4" t="s">
        <v>59</v>
      </c>
      <c r="D8" s="4">
        <v>1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f>Table1[[#This Row],[Goals]]*1000 + Table1[[#This Row],[Assists]]</f>
        <v>1000</v>
      </c>
    </row>
    <row r="9" spans="1:10" x14ac:dyDescent="0.25">
      <c r="A9" s="5">
        <v>46041</v>
      </c>
      <c r="B9" s="4" t="s">
        <v>9</v>
      </c>
      <c r="C9" s="4" t="s">
        <v>60</v>
      </c>
      <c r="D9" s="4">
        <v>0</v>
      </c>
      <c r="E9" s="4">
        <v>1</v>
      </c>
      <c r="F9" s="4">
        <v>1</v>
      </c>
      <c r="G9" s="4">
        <v>0</v>
      </c>
      <c r="H9" s="4">
        <v>0</v>
      </c>
      <c r="I9" s="4">
        <v>0</v>
      </c>
      <c r="J9" s="4">
        <f>Table1[[#This Row],[Goals]]*1000 + Table1[[#This Row],[Assists]]</f>
        <v>1</v>
      </c>
    </row>
    <row r="10" spans="1:10" x14ac:dyDescent="0.25">
      <c r="A10" s="5">
        <v>46041</v>
      </c>
      <c r="B10" s="4" t="s">
        <v>9</v>
      </c>
      <c r="C10" s="4" t="s">
        <v>61</v>
      </c>
      <c r="D10" s="4">
        <v>0</v>
      </c>
      <c r="E10" s="4">
        <v>1</v>
      </c>
      <c r="F10" s="4">
        <v>1</v>
      </c>
      <c r="G10" s="4">
        <v>0</v>
      </c>
      <c r="H10" s="4">
        <v>0</v>
      </c>
      <c r="I10" s="4">
        <v>0</v>
      </c>
      <c r="J10" s="4">
        <f>Table1[[#This Row],[Goals]]*1000 + Table1[[#This Row],[Assists]]</f>
        <v>1</v>
      </c>
    </row>
    <row r="11" spans="1:10" x14ac:dyDescent="0.25">
      <c r="A11" s="5">
        <v>46041</v>
      </c>
      <c r="B11" s="4" t="s">
        <v>9</v>
      </c>
      <c r="C11" s="4" t="s">
        <v>7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f>Table1[[#This Row],[Goals]]*1000 + Table1[[#This Row],[Assists]]</f>
        <v>0</v>
      </c>
    </row>
    <row r="12" spans="1:10" x14ac:dyDescent="0.25">
      <c r="A12" s="5">
        <v>46041</v>
      </c>
      <c r="B12" s="4" t="s">
        <v>9</v>
      </c>
      <c r="C12" s="4" t="s">
        <v>62</v>
      </c>
      <c r="D12" s="4">
        <v>1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f>Table1[[#This Row],[Goals]]*1000 + Table1[[#This Row],[Assists]]</f>
        <v>1000</v>
      </c>
    </row>
    <row r="13" spans="1:10" x14ac:dyDescent="0.25">
      <c r="A13" s="5">
        <v>46041</v>
      </c>
      <c r="B13" s="4" t="s">
        <v>9</v>
      </c>
      <c r="C13" s="4" t="s">
        <v>40</v>
      </c>
      <c r="D13" s="4">
        <v>1</v>
      </c>
      <c r="E13" s="4">
        <v>1</v>
      </c>
      <c r="F13" s="4">
        <v>1</v>
      </c>
      <c r="G13" s="4">
        <v>0</v>
      </c>
      <c r="H13" s="4">
        <v>0</v>
      </c>
      <c r="I13" s="4">
        <v>0</v>
      </c>
      <c r="J13" s="4">
        <f>Table1[[#This Row],[Goals]]*1000 + Table1[[#This Row],[Assists]]</f>
        <v>1001</v>
      </c>
    </row>
    <row r="14" spans="1:10" x14ac:dyDescent="0.25">
      <c r="A14" s="5">
        <v>46041</v>
      </c>
      <c r="B14" s="4" t="s">
        <v>9</v>
      </c>
      <c r="C14" s="4" t="s">
        <v>53</v>
      </c>
      <c r="D14" s="4">
        <v>1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f>Table1[[#This Row],[Goals]]*1000 + Table1[[#This Row],[Assists]]</f>
        <v>1000</v>
      </c>
    </row>
    <row r="15" spans="1:10" x14ac:dyDescent="0.25">
      <c r="A15" s="5">
        <v>46041</v>
      </c>
      <c r="B15" s="4" t="s">
        <v>9</v>
      </c>
      <c r="C15" s="4" t="s">
        <v>55</v>
      </c>
      <c r="D15" s="4">
        <v>1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f>Table1[[#This Row],[Goals]]*1000 + Table1[[#This Row],[Assists]]</f>
        <v>1000</v>
      </c>
    </row>
    <row r="16" spans="1:10" x14ac:dyDescent="0.25">
      <c r="A16" s="5">
        <v>46048</v>
      </c>
      <c r="B16" s="4" t="s">
        <v>10</v>
      </c>
      <c r="C16" s="4" t="s">
        <v>62</v>
      </c>
      <c r="D16" s="4">
        <v>1</v>
      </c>
      <c r="E16" s="4">
        <v>2</v>
      </c>
      <c r="F16" s="4">
        <v>0</v>
      </c>
      <c r="G16" s="4">
        <v>1</v>
      </c>
      <c r="H16" s="4">
        <v>0</v>
      </c>
      <c r="I16" s="4">
        <v>0</v>
      </c>
      <c r="J16" s="4">
        <f>Table1[[#This Row],[Goals]]*1000 + Table1[[#This Row],[Assists]]</f>
        <v>1002</v>
      </c>
    </row>
    <row r="17" spans="1:10" x14ac:dyDescent="0.25">
      <c r="A17" s="5">
        <v>46048</v>
      </c>
      <c r="B17" s="4" t="s">
        <v>10</v>
      </c>
      <c r="C17" s="4" t="s">
        <v>63</v>
      </c>
      <c r="D17" s="4">
        <v>1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f>Table1[[#This Row],[Goals]]*1000 + Table1[[#This Row],[Assists]]</f>
        <v>1000</v>
      </c>
    </row>
    <row r="18" spans="1:10" x14ac:dyDescent="0.25">
      <c r="A18" s="5">
        <v>46048</v>
      </c>
      <c r="B18" s="4" t="s">
        <v>10</v>
      </c>
      <c r="C18" s="4" t="s">
        <v>11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f>Table1[[#This Row],[Goals]]*1000 + Table1[[#This Row],[Assists]]</f>
        <v>0</v>
      </c>
    </row>
    <row r="19" spans="1:10" x14ac:dyDescent="0.25">
      <c r="A19" s="5">
        <v>46048</v>
      </c>
      <c r="B19" s="4" t="s">
        <v>10</v>
      </c>
      <c r="C19" s="4" t="s">
        <v>64</v>
      </c>
      <c r="D19" s="4">
        <v>1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f>Table1[[#This Row],[Goals]]*1000 + Table1[[#This Row],[Assists]]</f>
        <v>1000</v>
      </c>
    </row>
    <row r="20" spans="1:10" x14ac:dyDescent="0.25">
      <c r="A20" s="5">
        <v>46048</v>
      </c>
      <c r="B20" s="4" t="s">
        <v>10</v>
      </c>
      <c r="C20" s="4" t="s">
        <v>58</v>
      </c>
      <c r="D20" s="4">
        <v>1</v>
      </c>
      <c r="E20" s="4">
        <v>0</v>
      </c>
      <c r="F20" s="4">
        <v>0</v>
      </c>
      <c r="G20" s="4">
        <v>1</v>
      </c>
      <c r="H20" s="4">
        <v>0</v>
      </c>
      <c r="I20" s="4">
        <v>0</v>
      </c>
      <c r="J20" s="4">
        <f>Table1[[#This Row],[Goals]]*1000 + Table1[[#This Row],[Assists]]</f>
        <v>1000</v>
      </c>
    </row>
    <row r="21" spans="1:10" x14ac:dyDescent="0.25">
      <c r="A21" s="5">
        <v>46048</v>
      </c>
      <c r="B21" s="4" t="s">
        <v>10</v>
      </c>
      <c r="C21" s="4" t="s">
        <v>53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f>Table1[[#This Row],[Goals]]*1000 + Table1[[#This Row],[Assists]]</f>
        <v>0</v>
      </c>
    </row>
    <row r="22" spans="1:10" x14ac:dyDescent="0.25">
      <c r="A22" s="5">
        <v>46048</v>
      </c>
      <c r="B22" s="4" t="s">
        <v>10</v>
      </c>
      <c r="C22" s="4" t="s">
        <v>40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f>Table1[[#This Row],[Goals]]*1000 + Table1[[#This Row],[Assists]]</f>
        <v>0</v>
      </c>
    </row>
    <row r="23" spans="1:10" x14ac:dyDescent="0.25">
      <c r="A23" s="5">
        <v>46048</v>
      </c>
      <c r="B23" s="4" t="s">
        <v>10</v>
      </c>
      <c r="C23" s="4" t="s">
        <v>12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f>Table1[[#This Row],[Goals]]*1000 + Table1[[#This Row],[Assists]]</f>
        <v>0</v>
      </c>
    </row>
    <row r="24" spans="1:10" x14ac:dyDescent="0.25">
      <c r="A24" s="5">
        <v>46048</v>
      </c>
      <c r="B24" s="4" t="s">
        <v>10</v>
      </c>
      <c r="C24" s="4" t="s">
        <v>54</v>
      </c>
      <c r="D24" s="4">
        <v>0</v>
      </c>
      <c r="E24" s="4">
        <v>1</v>
      </c>
      <c r="F24" s="4">
        <v>1</v>
      </c>
      <c r="G24" s="4">
        <v>0</v>
      </c>
      <c r="H24" s="4">
        <v>0</v>
      </c>
      <c r="I24" s="4">
        <v>0</v>
      </c>
      <c r="J24" s="4">
        <f>Table1[[#This Row],[Goals]]*1000 + Table1[[#This Row],[Assists]]</f>
        <v>1</v>
      </c>
    </row>
    <row r="25" spans="1:10" x14ac:dyDescent="0.25">
      <c r="A25" s="5">
        <v>46048</v>
      </c>
      <c r="B25" s="4" t="s">
        <v>10</v>
      </c>
      <c r="C25" s="4" t="s">
        <v>55</v>
      </c>
      <c r="D25" s="4">
        <v>1</v>
      </c>
      <c r="E25" s="4">
        <v>1</v>
      </c>
      <c r="F25" s="4">
        <v>1</v>
      </c>
      <c r="G25" s="4">
        <v>0</v>
      </c>
      <c r="H25" s="4">
        <v>0</v>
      </c>
      <c r="I25" s="4">
        <v>0</v>
      </c>
      <c r="J25" s="4">
        <f>Table1[[#This Row],[Goals]]*1000 + Table1[[#This Row],[Assists]]</f>
        <v>1001</v>
      </c>
    </row>
    <row r="26" spans="1:10" x14ac:dyDescent="0.25">
      <c r="A26" s="5">
        <v>46048</v>
      </c>
      <c r="B26" s="4" t="s">
        <v>10</v>
      </c>
      <c r="C26" s="4" t="s">
        <v>57</v>
      </c>
      <c r="D26" s="4">
        <v>1</v>
      </c>
      <c r="E26" s="4">
        <v>2</v>
      </c>
      <c r="F26" s="4">
        <v>1</v>
      </c>
      <c r="G26" s="4">
        <v>0</v>
      </c>
      <c r="H26" s="4">
        <v>0</v>
      </c>
      <c r="I26" s="4">
        <v>0</v>
      </c>
      <c r="J26" s="4">
        <f>Table1[[#This Row],[Goals]]*1000 + Table1[[#This Row],[Assists]]</f>
        <v>1002</v>
      </c>
    </row>
    <row r="27" spans="1:10" x14ac:dyDescent="0.25">
      <c r="A27" s="5">
        <v>46048</v>
      </c>
      <c r="B27" s="4" t="s">
        <v>10</v>
      </c>
      <c r="C27" s="4" t="s">
        <v>41</v>
      </c>
      <c r="D27" s="4">
        <v>1</v>
      </c>
      <c r="E27" s="4">
        <v>1</v>
      </c>
      <c r="F27" s="4">
        <v>1</v>
      </c>
      <c r="G27" s="4">
        <v>0</v>
      </c>
      <c r="H27" s="4">
        <v>0</v>
      </c>
      <c r="I27" s="4">
        <v>0</v>
      </c>
      <c r="J27" s="4">
        <f>Table1[[#This Row],[Goals]]*1000 + Table1[[#This Row],[Assists]]</f>
        <v>1001</v>
      </c>
    </row>
    <row r="28" spans="1:10" x14ac:dyDescent="0.25">
      <c r="A28" s="5">
        <v>46048</v>
      </c>
      <c r="B28" s="4" t="s">
        <v>10</v>
      </c>
      <c r="C28" s="4" t="s">
        <v>43</v>
      </c>
      <c r="D28" s="4">
        <v>2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f>Table1[[#This Row],[Goals]]*1000 + Table1[[#This Row],[Assists]]</f>
        <v>2000</v>
      </c>
    </row>
    <row r="29" spans="1:10" x14ac:dyDescent="0.25">
      <c r="A29" s="5">
        <v>46048</v>
      </c>
      <c r="B29" s="4" t="s">
        <v>10</v>
      </c>
      <c r="C29" s="4" t="s">
        <v>42</v>
      </c>
      <c r="D29" s="4">
        <v>3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f>Table1[[#This Row],[Goals]]*1000 + Table1[[#This Row],[Assists]]</f>
        <v>3000</v>
      </c>
    </row>
    <row r="30" spans="1:10" x14ac:dyDescent="0.25">
      <c r="A30" s="5">
        <v>46055</v>
      </c>
      <c r="B30" s="4" t="s">
        <v>25</v>
      </c>
      <c r="C30" s="4" t="s">
        <v>55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f>Table1[[#This Row],[Goals]]*1000 + Table1[[#This Row],[Assists]]</f>
        <v>0</v>
      </c>
    </row>
    <row r="31" spans="1:10" x14ac:dyDescent="0.25">
      <c r="A31" s="5">
        <v>46055</v>
      </c>
      <c r="B31" s="4" t="s">
        <v>25</v>
      </c>
      <c r="C31" s="4" t="s">
        <v>58</v>
      </c>
      <c r="D31" s="4">
        <v>2</v>
      </c>
      <c r="E31" s="4">
        <v>1</v>
      </c>
      <c r="F31" s="4">
        <v>0</v>
      </c>
      <c r="G31" s="4">
        <v>1</v>
      </c>
      <c r="H31" s="4">
        <v>0</v>
      </c>
      <c r="I31" s="4">
        <v>0</v>
      </c>
      <c r="J31" s="4">
        <f>Table1[[#This Row],[Goals]]*1000 + Table1[[#This Row],[Assists]]</f>
        <v>2001</v>
      </c>
    </row>
    <row r="32" spans="1:10" x14ac:dyDescent="0.25">
      <c r="A32" s="5">
        <v>46055</v>
      </c>
      <c r="B32" s="4" t="s">
        <v>25</v>
      </c>
      <c r="C32" s="4" t="s">
        <v>61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f>Table1[[#This Row],[Goals]]*1000 + Table1[[#This Row],[Assists]]</f>
        <v>0</v>
      </c>
    </row>
    <row r="33" spans="1:10" x14ac:dyDescent="0.25">
      <c r="A33" s="5">
        <v>46055</v>
      </c>
      <c r="B33" s="4" t="s">
        <v>25</v>
      </c>
      <c r="C33" s="4" t="s">
        <v>12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f>Table1[[#This Row],[Goals]]*1000 + Table1[[#This Row],[Assists]]</f>
        <v>0</v>
      </c>
    </row>
    <row r="34" spans="1:10" x14ac:dyDescent="0.25">
      <c r="A34" s="5">
        <v>46055</v>
      </c>
      <c r="B34" s="4" t="s">
        <v>25</v>
      </c>
      <c r="C34" s="4" t="s">
        <v>40</v>
      </c>
      <c r="D34" s="4">
        <v>1</v>
      </c>
      <c r="E34" s="4">
        <v>1</v>
      </c>
      <c r="F34" s="4">
        <v>0</v>
      </c>
      <c r="G34" s="4">
        <v>1</v>
      </c>
      <c r="H34" s="4">
        <v>0</v>
      </c>
      <c r="I34" s="4">
        <v>0</v>
      </c>
      <c r="J34" s="4">
        <f>Table1[[#This Row],[Goals]]*1000 + Table1[[#This Row],[Assists]]</f>
        <v>1001</v>
      </c>
    </row>
    <row r="35" spans="1:10" x14ac:dyDescent="0.25">
      <c r="A35" s="5">
        <v>46055</v>
      </c>
      <c r="B35" s="4" t="s">
        <v>25</v>
      </c>
      <c r="C35" s="4" t="s">
        <v>57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f>Table1[[#This Row],[Goals]]*1000 + Table1[[#This Row],[Assists]]</f>
        <v>0</v>
      </c>
    </row>
    <row r="36" spans="1:10" x14ac:dyDescent="0.25">
      <c r="A36" s="5">
        <v>46055</v>
      </c>
      <c r="B36" s="4" t="s">
        <v>25</v>
      </c>
      <c r="C36" s="4" t="s">
        <v>42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f>Table1[[#This Row],[Goals]]*1000 + Table1[[#This Row],[Assists]]</f>
        <v>0</v>
      </c>
    </row>
    <row r="37" spans="1:10" x14ac:dyDescent="0.25">
      <c r="A37" s="5">
        <v>46055</v>
      </c>
      <c r="B37" s="4" t="s">
        <v>25</v>
      </c>
      <c r="C37" s="4" t="s">
        <v>56</v>
      </c>
      <c r="D37" s="4">
        <v>0</v>
      </c>
      <c r="E37" s="4">
        <v>0</v>
      </c>
      <c r="F37" s="4">
        <v>1</v>
      </c>
      <c r="G37" s="4">
        <v>0</v>
      </c>
      <c r="H37" s="4">
        <v>0</v>
      </c>
      <c r="I37" s="4">
        <v>0</v>
      </c>
      <c r="J37" s="4">
        <f>Table1[[#This Row],[Goals]]*1000 + Table1[[#This Row],[Assists]]</f>
        <v>0</v>
      </c>
    </row>
    <row r="38" spans="1:10" x14ac:dyDescent="0.25">
      <c r="A38" s="5">
        <v>46055</v>
      </c>
      <c r="B38" s="4" t="s">
        <v>25</v>
      </c>
      <c r="C38" s="4" t="s">
        <v>11</v>
      </c>
      <c r="D38" s="4">
        <v>4</v>
      </c>
      <c r="E38" s="4">
        <v>2</v>
      </c>
      <c r="F38" s="4">
        <v>1</v>
      </c>
      <c r="G38" s="4">
        <v>0</v>
      </c>
      <c r="H38" s="4">
        <v>0</v>
      </c>
      <c r="I38" s="4">
        <v>0</v>
      </c>
      <c r="J38" s="4">
        <f>Table1[[#This Row],[Goals]]*1000 + Table1[[#This Row],[Assists]]</f>
        <v>4002</v>
      </c>
    </row>
    <row r="39" spans="1:10" x14ac:dyDescent="0.25">
      <c r="A39" s="5">
        <v>46055</v>
      </c>
      <c r="B39" s="4" t="s">
        <v>25</v>
      </c>
      <c r="C39" s="4" t="s">
        <v>54</v>
      </c>
      <c r="D39" s="4">
        <v>0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4">
        <f>Table1[[#This Row],[Goals]]*1000 + Table1[[#This Row],[Assists]]</f>
        <v>0</v>
      </c>
    </row>
    <row r="40" spans="1:10" x14ac:dyDescent="0.25">
      <c r="A40" s="5">
        <v>46055</v>
      </c>
      <c r="B40" s="4" t="s">
        <v>25</v>
      </c>
      <c r="C40" s="4" t="s">
        <v>62</v>
      </c>
      <c r="D40" s="4">
        <v>1</v>
      </c>
      <c r="E40" s="4">
        <v>0</v>
      </c>
      <c r="F40" s="4">
        <v>1</v>
      </c>
      <c r="G40" s="4">
        <v>0</v>
      </c>
      <c r="H40" s="4">
        <v>0</v>
      </c>
      <c r="I40" s="4">
        <v>0</v>
      </c>
      <c r="J40" s="4">
        <f>Table1[[#This Row],[Goals]]*1000 + Table1[[#This Row],[Assists]]</f>
        <v>1000</v>
      </c>
    </row>
    <row r="41" spans="1:10" x14ac:dyDescent="0.25">
      <c r="A41" s="5">
        <v>46055</v>
      </c>
      <c r="B41" s="4" t="s">
        <v>25</v>
      </c>
      <c r="C41" s="4" t="s">
        <v>26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  <c r="J41" s="4">
        <f>Table1[[#This Row],[Goals]]*1000 + Table1[[#This Row],[Assists]]</f>
        <v>0</v>
      </c>
    </row>
    <row r="42" spans="1:10" x14ac:dyDescent="0.25">
      <c r="A42" s="5">
        <v>46055</v>
      </c>
      <c r="B42" s="4" t="s">
        <v>25</v>
      </c>
      <c r="C42" s="4" t="s">
        <v>64</v>
      </c>
      <c r="D42" s="4">
        <v>3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f>Table1[[#This Row],[Goals]]*1000 + Table1[[#This Row],[Assists]]</f>
        <v>3000</v>
      </c>
    </row>
    <row r="43" spans="1:10" x14ac:dyDescent="0.25">
      <c r="A43" s="5">
        <v>46055</v>
      </c>
      <c r="B43" s="4" t="s">
        <v>25</v>
      </c>
      <c r="C43" s="4" t="s">
        <v>43</v>
      </c>
      <c r="D43" s="4">
        <v>2</v>
      </c>
      <c r="E43" s="4">
        <v>3</v>
      </c>
      <c r="F43" s="4">
        <v>1</v>
      </c>
      <c r="G43" s="4">
        <v>0</v>
      </c>
      <c r="H43" s="4">
        <v>0</v>
      </c>
      <c r="I43" s="4">
        <v>0</v>
      </c>
      <c r="J43" s="4">
        <f>Table1[[#This Row],[Goals]]*1000 + Table1[[#This Row],[Assists]]</f>
        <v>2003</v>
      </c>
    </row>
    <row r="44" spans="1:10" x14ac:dyDescent="0.25">
      <c r="A44" s="5">
        <v>46062</v>
      </c>
      <c r="B44" s="4" t="s">
        <v>27</v>
      </c>
      <c r="C44" s="4" t="s">
        <v>56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0</v>
      </c>
      <c r="J44" s="4">
        <f>Table1[[#This Row],[Goals]]*1000 + Table1[[#This Row],[Assists]]</f>
        <v>0</v>
      </c>
    </row>
    <row r="45" spans="1:10" x14ac:dyDescent="0.25">
      <c r="A45" s="5">
        <v>46062</v>
      </c>
      <c r="B45" s="4" t="s">
        <v>27</v>
      </c>
      <c r="C45" s="4" t="s">
        <v>61</v>
      </c>
      <c r="D45" s="4">
        <v>1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f>Table1[[#This Row],[Goals]]*1000 + Table1[[#This Row],[Assists]]</f>
        <v>1000</v>
      </c>
    </row>
    <row r="46" spans="1:10" x14ac:dyDescent="0.25">
      <c r="A46" s="5">
        <v>46062</v>
      </c>
      <c r="B46" s="4" t="s">
        <v>27</v>
      </c>
      <c r="C46" s="4" t="s">
        <v>6</v>
      </c>
      <c r="D46" s="4">
        <v>1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f>Table1[[#This Row],[Goals]]*1000 + Table1[[#This Row],[Assists]]</f>
        <v>1000</v>
      </c>
    </row>
    <row r="47" spans="1:10" x14ac:dyDescent="0.25">
      <c r="A47" s="5">
        <v>46062</v>
      </c>
      <c r="B47" s="4" t="s">
        <v>27</v>
      </c>
      <c r="C47" s="4" t="s">
        <v>43</v>
      </c>
      <c r="D47" s="4">
        <v>1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f>Table1[[#This Row],[Goals]]*1000 + Table1[[#This Row],[Assists]]</f>
        <v>1000</v>
      </c>
    </row>
    <row r="48" spans="1:10" x14ac:dyDescent="0.25">
      <c r="A48" s="5">
        <v>46062</v>
      </c>
      <c r="B48" s="4" t="s">
        <v>27</v>
      </c>
      <c r="C48" s="4" t="s">
        <v>26</v>
      </c>
      <c r="D48" s="4">
        <v>1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f>Table1[[#This Row],[Goals]]*1000 + Table1[[#This Row],[Assists]]</f>
        <v>1000</v>
      </c>
    </row>
    <row r="49" spans="1:10" x14ac:dyDescent="0.25">
      <c r="A49" s="5">
        <v>46062</v>
      </c>
      <c r="B49" s="4" t="s">
        <v>27</v>
      </c>
      <c r="C49" s="4" t="s">
        <v>58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f>Table1[[#This Row],[Goals]]*1000 + Table1[[#This Row],[Assists]]</f>
        <v>0</v>
      </c>
    </row>
    <row r="50" spans="1:10" x14ac:dyDescent="0.25">
      <c r="A50" s="5">
        <v>46062</v>
      </c>
      <c r="B50" s="4" t="s">
        <v>27</v>
      </c>
      <c r="C50" s="4" t="s">
        <v>55</v>
      </c>
      <c r="D50" s="4">
        <v>0</v>
      </c>
      <c r="E50" s="4">
        <v>1</v>
      </c>
      <c r="F50" s="4">
        <v>0</v>
      </c>
      <c r="G50" s="4">
        <v>0</v>
      </c>
      <c r="H50" s="4">
        <v>1</v>
      </c>
      <c r="I50" s="4">
        <v>0</v>
      </c>
      <c r="J50" s="4">
        <f>Table1[[#This Row],[Goals]]*1000 + Table1[[#This Row],[Assists]]</f>
        <v>1</v>
      </c>
    </row>
    <row r="51" spans="1:10" x14ac:dyDescent="0.25">
      <c r="A51" s="5">
        <v>46062</v>
      </c>
      <c r="B51" s="4" t="s">
        <v>27</v>
      </c>
      <c r="C51" s="4" t="s">
        <v>12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f>Table1[[#This Row],[Goals]]*1000 + Table1[[#This Row],[Assists]]</f>
        <v>0</v>
      </c>
    </row>
    <row r="52" spans="1:10" x14ac:dyDescent="0.25">
      <c r="A52" s="5">
        <v>46062</v>
      </c>
      <c r="B52" s="4" t="s">
        <v>27</v>
      </c>
      <c r="C52" s="4" t="s">
        <v>28</v>
      </c>
      <c r="D52" s="4">
        <v>2</v>
      </c>
      <c r="E52" s="4">
        <v>0</v>
      </c>
      <c r="F52" s="4">
        <v>0</v>
      </c>
      <c r="G52" s="4">
        <v>0</v>
      </c>
      <c r="H52" s="4">
        <v>1</v>
      </c>
      <c r="I52" s="4">
        <v>0</v>
      </c>
      <c r="J52" s="4">
        <f>Table1[[#This Row],[Goals]]*1000 + Table1[[#This Row],[Assists]]</f>
        <v>2000</v>
      </c>
    </row>
    <row r="53" spans="1:10" x14ac:dyDescent="0.25">
      <c r="A53" s="5">
        <v>46062</v>
      </c>
      <c r="B53" s="4" t="s">
        <v>27</v>
      </c>
      <c r="C53" s="4" t="s">
        <v>63</v>
      </c>
      <c r="D53" s="4">
        <v>1</v>
      </c>
      <c r="E53" s="4">
        <v>0</v>
      </c>
      <c r="F53" s="4">
        <v>0</v>
      </c>
      <c r="G53" s="4">
        <v>0</v>
      </c>
      <c r="H53" s="4">
        <v>1</v>
      </c>
      <c r="I53" s="4">
        <v>0</v>
      </c>
      <c r="J53" s="4">
        <f>Table1[[#This Row],[Goals]]*1000 + Table1[[#This Row],[Assists]]</f>
        <v>1000</v>
      </c>
    </row>
    <row r="54" spans="1:10" x14ac:dyDescent="0.25">
      <c r="A54" s="5">
        <v>46062</v>
      </c>
      <c r="B54" s="4" t="s">
        <v>27</v>
      </c>
      <c r="C54" s="4" t="s">
        <v>41</v>
      </c>
      <c r="D54" s="4">
        <v>0</v>
      </c>
      <c r="E54" s="4">
        <v>2</v>
      </c>
      <c r="F54" s="4">
        <v>0</v>
      </c>
      <c r="G54" s="4">
        <v>0</v>
      </c>
      <c r="H54" s="4">
        <v>1</v>
      </c>
      <c r="I54" s="4">
        <v>0</v>
      </c>
      <c r="J54" s="4">
        <f>Table1[[#This Row],[Goals]]*1000 + Table1[[#This Row],[Assists]]</f>
        <v>2</v>
      </c>
    </row>
    <row r="55" spans="1:10" x14ac:dyDescent="0.25">
      <c r="A55" s="5">
        <v>46062</v>
      </c>
      <c r="B55" s="4" t="s">
        <v>27</v>
      </c>
      <c r="C55" s="4" t="s">
        <v>40</v>
      </c>
      <c r="D55" s="4">
        <v>0</v>
      </c>
      <c r="E55" s="4">
        <v>0</v>
      </c>
      <c r="F55" s="4">
        <v>0</v>
      </c>
      <c r="G55" s="4">
        <v>0</v>
      </c>
      <c r="H55" s="4">
        <v>1</v>
      </c>
      <c r="I55" s="4">
        <v>0</v>
      </c>
      <c r="J55" s="4">
        <f>Table1[[#This Row],[Goals]]*1000 + Table1[[#This Row],[Assists]]</f>
        <v>0</v>
      </c>
    </row>
    <row r="56" spans="1:10" x14ac:dyDescent="0.25">
      <c r="A56" s="5">
        <v>46062</v>
      </c>
      <c r="B56" s="4" t="s">
        <v>27</v>
      </c>
      <c r="C56" s="4" t="s">
        <v>53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4">
        <f>Table1[[#This Row],[Goals]]*1000 + Table1[[#This Row],[Assists]]</f>
        <v>0</v>
      </c>
    </row>
    <row r="57" spans="1:10" x14ac:dyDescent="0.25">
      <c r="A57" s="5">
        <v>46062</v>
      </c>
      <c r="B57" s="4" t="s">
        <v>27</v>
      </c>
      <c r="C57" s="4" t="s">
        <v>62</v>
      </c>
      <c r="D57" s="4">
        <v>1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4">
        <f>Table1[[#This Row],[Goals]]*1000 + Table1[[#This Row],[Assists]]</f>
        <v>1000</v>
      </c>
    </row>
    <row r="58" spans="1:10" x14ac:dyDescent="0.25">
      <c r="A58" s="5">
        <v>46069</v>
      </c>
      <c r="B58" s="4" t="s">
        <v>31</v>
      </c>
      <c r="C58" s="4" t="s">
        <v>41</v>
      </c>
      <c r="D58" s="4">
        <v>2</v>
      </c>
      <c r="E58" s="4">
        <v>2</v>
      </c>
      <c r="F58" s="4">
        <v>0</v>
      </c>
      <c r="G58" s="4">
        <v>1</v>
      </c>
      <c r="H58" s="4">
        <v>0</v>
      </c>
      <c r="I58" s="4">
        <v>0</v>
      </c>
      <c r="J58" s="4">
        <f>Table1[[#This Row],[Goals]]*1000 + Table1[[#This Row],[Assists]]</f>
        <v>2002</v>
      </c>
    </row>
    <row r="59" spans="1:10" x14ac:dyDescent="0.25">
      <c r="A59" s="5">
        <v>46069</v>
      </c>
      <c r="B59" s="4" t="s">
        <v>31</v>
      </c>
      <c r="C59" s="4" t="s">
        <v>54</v>
      </c>
      <c r="D59" s="4">
        <v>0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4">
        <f>Table1[[#This Row],[Goals]]*1000 + Table1[[#This Row],[Assists]]</f>
        <v>0</v>
      </c>
    </row>
    <row r="60" spans="1:10" x14ac:dyDescent="0.25">
      <c r="A60" s="5">
        <v>46069</v>
      </c>
      <c r="B60" s="4" t="s">
        <v>31</v>
      </c>
      <c r="C60" s="4" t="s">
        <v>42</v>
      </c>
      <c r="D60" s="4">
        <v>1</v>
      </c>
      <c r="E60" s="4">
        <v>0</v>
      </c>
      <c r="F60" s="4">
        <v>0</v>
      </c>
      <c r="G60" s="4">
        <v>1</v>
      </c>
      <c r="H60" s="4">
        <v>0</v>
      </c>
      <c r="I60" s="4">
        <v>0</v>
      </c>
      <c r="J60" s="4">
        <f>Table1[[#This Row],[Goals]]*1000 + Table1[[#This Row],[Assists]]</f>
        <v>1000</v>
      </c>
    </row>
    <row r="61" spans="1:10" x14ac:dyDescent="0.25">
      <c r="A61" s="5">
        <v>46069</v>
      </c>
      <c r="B61" s="4" t="s">
        <v>31</v>
      </c>
      <c r="C61" s="4" t="s">
        <v>62</v>
      </c>
      <c r="D61" s="4">
        <v>4</v>
      </c>
      <c r="E61" s="4">
        <v>1</v>
      </c>
      <c r="F61" s="4">
        <v>0</v>
      </c>
      <c r="G61" s="4">
        <v>1</v>
      </c>
      <c r="H61" s="4">
        <v>0</v>
      </c>
      <c r="I61" s="4">
        <v>0</v>
      </c>
      <c r="J61" s="4">
        <f>Table1[[#This Row],[Goals]]*1000 + Table1[[#This Row],[Assists]]</f>
        <v>4001</v>
      </c>
    </row>
    <row r="62" spans="1:10" x14ac:dyDescent="0.25">
      <c r="A62" s="5">
        <v>46069</v>
      </c>
      <c r="B62" s="4" t="s">
        <v>31</v>
      </c>
      <c r="C62" s="4" t="s">
        <v>7</v>
      </c>
      <c r="D62" s="4">
        <v>1</v>
      </c>
      <c r="F62" s="4">
        <v>0</v>
      </c>
      <c r="G62" s="4">
        <v>1</v>
      </c>
      <c r="H62" s="4">
        <v>0</v>
      </c>
      <c r="I62" s="4">
        <v>0</v>
      </c>
      <c r="J62" s="4">
        <f>Table1[[#This Row],[Goals]]*1000 + Table1[[#This Row],[Assists]]</f>
        <v>1000</v>
      </c>
    </row>
    <row r="63" spans="1:10" x14ac:dyDescent="0.25">
      <c r="A63" s="5">
        <v>46069</v>
      </c>
      <c r="B63" s="4" t="s">
        <v>31</v>
      </c>
      <c r="C63" s="4" t="s">
        <v>33</v>
      </c>
      <c r="D63" s="4">
        <v>0</v>
      </c>
      <c r="E63" s="4">
        <v>1</v>
      </c>
      <c r="F63" s="4">
        <v>0</v>
      </c>
      <c r="G63" s="4">
        <v>1</v>
      </c>
      <c r="H63" s="4">
        <v>0</v>
      </c>
      <c r="I63" s="4">
        <v>0</v>
      </c>
      <c r="J63" s="4">
        <f>Table1[[#This Row],[Goals]]*1000 + Table1[[#This Row],[Assists]]</f>
        <v>1</v>
      </c>
    </row>
    <row r="64" spans="1:10" x14ac:dyDescent="0.25">
      <c r="A64" s="5">
        <v>46069</v>
      </c>
      <c r="B64" s="4" t="s">
        <v>31</v>
      </c>
      <c r="C64" s="4" t="s">
        <v>55</v>
      </c>
      <c r="D64" s="4">
        <v>0</v>
      </c>
      <c r="E64" s="4">
        <v>2</v>
      </c>
      <c r="F64" s="4">
        <v>0</v>
      </c>
      <c r="G64" s="4">
        <v>1</v>
      </c>
      <c r="H64" s="4">
        <v>0</v>
      </c>
      <c r="I64" s="4">
        <v>0</v>
      </c>
      <c r="J64" s="4">
        <f>Table1[[#This Row],[Goals]]*1000 + Table1[[#This Row],[Assists]]</f>
        <v>2</v>
      </c>
    </row>
    <row r="65" spans="1:10" x14ac:dyDescent="0.25">
      <c r="A65" s="5">
        <v>46069</v>
      </c>
      <c r="B65" s="4" t="s">
        <v>31</v>
      </c>
      <c r="C65" s="4" t="s">
        <v>11</v>
      </c>
      <c r="D65" s="4">
        <v>6</v>
      </c>
      <c r="E65" s="4">
        <v>3</v>
      </c>
      <c r="F65" s="4">
        <v>1</v>
      </c>
      <c r="G65" s="4">
        <v>0</v>
      </c>
      <c r="H65" s="4">
        <v>0</v>
      </c>
      <c r="I65" s="4">
        <v>0</v>
      </c>
      <c r="J65" s="4">
        <f>Table1[[#This Row],[Goals]]*1000 + Table1[[#This Row],[Assists]]</f>
        <v>6003</v>
      </c>
    </row>
    <row r="66" spans="1:10" x14ac:dyDescent="0.25">
      <c r="A66" s="5">
        <v>46069</v>
      </c>
      <c r="B66" s="4" t="s">
        <v>31</v>
      </c>
      <c r="C66" s="4" t="s">
        <v>40</v>
      </c>
      <c r="D66" s="4">
        <v>3</v>
      </c>
      <c r="E66" s="4">
        <v>3</v>
      </c>
      <c r="F66" s="4">
        <v>1</v>
      </c>
      <c r="G66" s="4">
        <v>0</v>
      </c>
      <c r="H66" s="4">
        <v>0</v>
      </c>
      <c r="I66" s="4">
        <v>0</v>
      </c>
      <c r="J66" s="4">
        <f>Table1[[#This Row],[Goals]]*1000 + Table1[[#This Row],[Assists]]</f>
        <v>3003</v>
      </c>
    </row>
    <row r="67" spans="1:10" x14ac:dyDescent="0.25">
      <c r="A67" s="5">
        <v>46069</v>
      </c>
      <c r="B67" s="4" t="s">
        <v>31</v>
      </c>
      <c r="C67" s="4" t="s">
        <v>64</v>
      </c>
      <c r="D67" s="4">
        <v>2</v>
      </c>
      <c r="E67" s="4">
        <v>3</v>
      </c>
      <c r="F67" s="4">
        <v>1</v>
      </c>
      <c r="G67" s="4">
        <v>0</v>
      </c>
      <c r="H67" s="4">
        <v>0</v>
      </c>
      <c r="I67" s="4">
        <v>0</v>
      </c>
      <c r="J67" s="4">
        <f>Table1[[#This Row],[Goals]]*1000 + Table1[[#This Row],[Assists]]</f>
        <v>2003</v>
      </c>
    </row>
    <row r="68" spans="1:10" x14ac:dyDescent="0.25">
      <c r="A68" s="5">
        <v>46069</v>
      </c>
      <c r="B68" s="4" t="s">
        <v>31</v>
      </c>
      <c r="C68" s="4" t="s">
        <v>61</v>
      </c>
      <c r="D68" s="4">
        <v>0</v>
      </c>
      <c r="E68" s="4">
        <v>0</v>
      </c>
      <c r="F68" s="4">
        <v>1</v>
      </c>
      <c r="G68" s="4">
        <v>0</v>
      </c>
      <c r="H68" s="4">
        <v>0</v>
      </c>
      <c r="I68" s="4">
        <v>0</v>
      </c>
      <c r="J68" s="4">
        <f>Table1[[#This Row],[Goals]]*1000 + Table1[[#This Row],[Assists]]</f>
        <v>0</v>
      </c>
    </row>
    <row r="69" spans="1:10" x14ac:dyDescent="0.25">
      <c r="A69" s="5">
        <v>46069</v>
      </c>
      <c r="B69" s="4" t="s">
        <v>31</v>
      </c>
      <c r="C69" s="4" t="s">
        <v>43</v>
      </c>
      <c r="D69" s="4">
        <v>1</v>
      </c>
      <c r="E69" s="4">
        <v>0</v>
      </c>
      <c r="F69" s="4">
        <v>1</v>
      </c>
      <c r="G69" s="4">
        <v>0</v>
      </c>
      <c r="H69" s="4">
        <v>0</v>
      </c>
      <c r="I69" s="4">
        <v>0</v>
      </c>
      <c r="J69" s="4">
        <f>Table1[[#This Row],[Goals]]*1000 + Table1[[#This Row],[Assists]]</f>
        <v>1000</v>
      </c>
    </row>
    <row r="70" spans="1:10" x14ac:dyDescent="0.25">
      <c r="A70" s="5">
        <v>46069</v>
      </c>
      <c r="B70" s="4" t="s">
        <v>31</v>
      </c>
      <c r="C70" s="4" t="s">
        <v>58</v>
      </c>
      <c r="D70" s="4">
        <v>0</v>
      </c>
      <c r="E70" s="4">
        <v>2</v>
      </c>
      <c r="F70" s="4">
        <v>1</v>
      </c>
      <c r="G70" s="4">
        <v>0</v>
      </c>
      <c r="H70" s="4">
        <v>0</v>
      </c>
      <c r="I70" s="4">
        <v>0</v>
      </c>
      <c r="J70" s="4">
        <f>Table1[[#This Row],[Goals]]*1000 + Table1[[#This Row],[Assists]]</f>
        <v>2</v>
      </c>
    </row>
    <row r="71" spans="1:10" x14ac:dyDescent="0.25">
      <c r="A71" s="5">
        <v>46069</v>
      </c>
      <c r="B71" s="4" t="s">
        <v>31</v>
      </c>
      <c r="C71" s="4" t="s">
        <v>53</v>
      </c>
      <c r="D71" s="4">
        <v>0</v>
      </c>
      <c r="E71" s="4">
        <v>0</v>
      </c>
      <c r="F71" s="4">
        <v>1</v>
      </c>
      <c r="G71" s="4">
        <v>0</v>
      </c>
      <c r="H71" s="4">
        <v>0</v>
      </c>
      <c r="I71" s="4">
        <v>0</v>
      </c>
      <c r="J71" s="4">
        <f>Table1[[#This Row],[Goals]]*1000 + Table1[[#This Row],[Assists]]</f>
        <v>0</v>
      </c>
    </row>
    <row r="72" spans="1:10" x14ac:dyDescent="0.25">
      <c r="A72" s="5">
        <v>46076</v>
      </c>
      <c r="B72" s="4" t="s">
        <v>32</v>
      </c>
      <c r="C72" s="4" t="s">
        <v>56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1</v>
      </c>
      <c r="J72" s="4">
        <f>Table1[[#This Row],[Goals]]*1000 + Table1[[#This Row],[Assists]]</f>
        <v>0</v>
      </c>
    </row>
    <row r="73" spans="1:10" x14ac:dyDescent="0.25">
      <c r="A73" s="5">
        <v>46076</v>
      </c>
      <c r="B73" s="4" t="s">
        <v>32</v>
      </c>
      <c r="C73" s="4" t="s">
        <v>55</v>
      </c>
      <c r="D73" s="4">
        <v>1</v>
      </c>
      <c r="E73" s="4">
        <v>1</v>
      </c>
      <c r="F73" s="4">
        <v>0</v>
      </c>
      <c r="G73" s="4">
        <v>0</v>
      </c>
      <c r="H73" s="4">
        <v>0</v>
      </c>
      <c r="I73" s="4">
        <v>1</v>
      </c>
      <c r="J73" s="4">
        <f>Table1[[#This Row],[Goals]]*1000 + Table1[[#This Row],[Assists]]</f>
        <v>1001</v>
      </c>
    </row>
    <row r="74" spans="1:10" x14ac:dyDescent="0.25">
      <c r="A74" s="5">
        <v>46076</v>
      </c>
      <c r="B74" s="4" t="s">
        <v>32</v>
      </c>
      <c r="C74" s="4" t="s">
        <v>54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1</v>
      </c>
      <c r="J74" s="4">
        <f>Table1[[#This Row],[Goals]]*1000 + Table1[[#This Row],[Assists]]</f>
        <v>0</v>
      </c>
    </row>
    <row r="75" spans="1:10" x14ac:dyDescent="0.25">
      <c r="A75" s="5">
        <v>46076</v>
      </c>
      <c r="B75" s="4" t="s">
        <v>32</v>
      </c>
      <c r="C75" s="4" t="s">
        <v>57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</v>
      </c>
      <c r="J75" s="4">
        <f>Table1[[#This Row],[Goals]]*1000 + Table1[[#This Row],[Assists]]</f>
        <v>0</v>
      </c>
    </row>
    <row r="76" spans="1:10" x14ac:dyDescent="0.25">
      <c r="A76" s="5">
        <v>46076</v>
      </c>
      <c r="B76" s="4" t="s">
        <v>32</v>
      </c>
      <c r="C76" s="4" t="s">
        <v>11</v>
      </c>
      <c r="D76" s="4">
        <v>2</v>
      </c>
      <c r="E76" s="4">
        <v>1</v>
      </c>
      <c r="F76" s="4">
        <v>0</v>
      </c>
      <c r="G76" s="4">
        <v>0</v>
      </c>
      <c r="H76" s="4">
        <v>0</v>
      </c>
      <c r="I76" s="4">
        <v>1</v>
      </c>
      <c r="J76" s="4">
        <f>Table1[[#This Row],[Goals]]*1000 + Table1[[#This Row],[Assists]]</f>
        <v>2001</v>
      </c>
    </row>
    <row r="77" spans="1:10" x14ac:dyDescent="0.25">
      <c r="A77" s="5">
        <v>46076</v>
      </c>
      <c r="B77" s="4" t="s">
        <v>32</v>
      </c>
      <c r="C77" s="4" t="s">
        <v>63</v>
      </c>
      <c r="D77" s="4">
        <v>1</v>
      </c>
      <c r="E77" s="4">
        <v>2</v>
      </c>
      <c r="F77" s="4">
        <v>0</v>
      </c>
      <c r="G77" s="4">
        <v>0</v>
      </c>
      <c r="H77" s="4">
        <v>0</v>
      </c>
      <c r="I77" s="4">
        <v>1</v>
      </c>
      <c r="J77" s="4">
        <f>Table1[[#This Row],[Goals]]*1000 + Table1[[#This Row],[Assists]]</f>
        <v>1002</v>
      </c>
    </row>
    <row r="78" spans="1:10" x14ac:dyDescent="0.25">
      <c r="A78" s="5">
        <v>46076</v>
      </c>
      <c r="B78" s="4" t="s">
        <v>32</v>
      </c>
      <c r="C78" s="4" t="s">
        <v>42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  <c r="I78" s="4">
        <v>1</v>
      </c>
      <c r="J78" s="4">
        <f>Table1[[#This Row],[Goals]]*1000 + Table1[[#This Row],[Assists]]</f>
        <v>1000</v>
      </c>
    </row>
    <row r="79" spans="1:10" x14ac:dyDescent="0.25">
      <c r="A79" s="5">
        <v>46076</v>
      </c>
      <c r="B79" s="4" t="s">
        <v>32</v>
      </c>
      <c r="C79" s="4" t="s">
        <v>43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1</v>
      </c>
      <c r="J79" s="4">
        <f>Table1[[#This Row],[Goals]]*1000 + Table1[[#This Row],[Assists]]</f>
        <v>0</v>
      </c>
    </row>
    <row r="80" spans="1:10" x14ac:dyDescent="0.25">
      <c r="A80" s="5">
        <v>46076</v>
      </c>
      <c r="B80" s="4" t="s">
        <v>32</v>
      </c>
      <c r="C80" s="4" t="s">
        <v>58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1</v>
      </c>
      <c r="J80" s="4">
        <f>Table1[[#This Row],[Goals]]*1000 + Table1[[#This Row],[Assists]]</f>
        <v>0</v>
      </c>
    </row>
    <row r="81" spans="1:10" x14ac:dyDescent="0.25">
      <c r="A81" s="5">
        <v>46076</v>
      </c>
      <c r="B81" s="4" t="s">
        <v>32</v>
      </c>
      <c r="C81" s="4" t="s">
        <v>40</v>
      </c>
      <c r="D81" s="4">
        <v>3</v>
      </c>
      <c r="E81" s="4">
        <v>3</v>
      </c>
      <c r="F81" s="4">
        <v>0</v>
      </c>
      <c r="G81" s="4">
        <v>0</v>
      </c>
      <c r="H81" s="4">
        <v>0</v>
      </c>
      <c r="I81" s="4">
        <v>1</v>
      </c>
      <c r="J81" s="4">
        <f>Table1[[#This Row],[Goals]]*1000 + Table1[[#This Row],[Assists]]</f>
        <v>3003</v>
      </c>
    </row>
    <row r="82" spans="1:10" x14ac:dyDescent="0.25">
      <c r="A82" s="5">
        <v>46076</v>
      </c>
      <c r="B82" s="4" t="s">
        <v>32</v>
      </c>
      <c r="C82" s="4" t="s">
        <v>61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f>Table1[[#This Row],[Goals]]*1000 + Table1[[#This Row],[Assists]]</f>
        <v>1000</v>
      </c>
    </row>
    <row r="83" spans="1:10" x14ac:dyDescent="0.25">
      <c r="A83" s="5">
        <v>46076</v>
      </c>
      <c r="B83" s="4" t="s">
        <v>32</v>
      </c>
      <c r="C83" s="4" t="s">
        <v>33</v>
      </c>
      <c r="D83" s="4">
        <v>0</v>
      </c>
      <c r="E83" s="4">
        <v>1</v>
      </c>
      <c r="F83" s="4">
        <v>0</v>
      </c>
      <c r="G83" s="4">
        <v>0</v>
      </c>
      <c r="H83" s="4">
        <v>0</v>
      </c>
      <c r="I83" s="4">
        <v>1</v>
      </c>
      <c r="J83" s="4">
        <f>Table1[[#This Row],[Goals]]*1000 + Table1[[#This Row],[Assists]]</f>
        <v>1</v>
      </c>
    </row>
    <row r="84" spans="1:10" x14ac:dyDescent="0.25">
      <c r="A84" s="5">
        <v>46076</v>
      </c>
      <c r="B84" s="4" t="s">
        <v>32</v>
      </c>
      <c r="C84" s="4" t="s">
        <v>41</v>
      </c>
      <c r="D84" s="4">
        <v>2</v>
      </c>
      <c r="E84" s="4">
        <v>2</v>
      </c>
      <c r="F84" s="4">
        <v>0</v>
      </c>
      <c r="G84" s="4">
        <v>0</v>
      </c>
      <c r="H84" s="4">
        <v>0</v>
      </c>
      <c r="I84" s="4">
        <v>1</v>
      </c>
      <c r="J84" s="4">
        <f>Table1[[#This Row],[Goals]]*1000 + Table1[[#This Row],[Assists]]</f>
        <v>2002</v>
      </c>
    </row>
    <row r="85" spans="1:10" x14ac:dyDescent="0.25">
      <c r="A85" s="5">
        <v>46076</v>
      </c>
      <c r="B85" s="4" t="s">
        <v>32</v>
      </c>
      <c r="C85" s="4" t="s">
        <v>62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1</v>
      </c>
      <c r="J85" s="4">
        <f>Table1[[#This Row],[Goals]]*1000 + Table1[[#This Row],[Assists]]</f>
        <v>1000</v>
      </c>
    </row>
    <row r="86" spans="1:10" x14ac:dyDescent="0.25">
      <c r="A86" s="5">
        <v>46076</v>
      </c>
      <c r="B86" s="4" t="s">
        <v>32</v>
      </c>
      <c r="C86" s="4" t="s">
        <v>39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</v>
      </c>
      <c r="J86" s="4">
        <f>Table1[[#This Row],[Goals]]*1000 + Table1[[#This Row],[Assists]]</f>
        <v>0</v>
      </c>
    </row>
    <row r="87" spans="1:10" x14ac:dyDescent="0.25">
      <c r="A87" s="5">
        <v>46076</v>
      </c>
      <c r="B87" s="4" t="s">
        <v>32</v>
      </c>
      <c r="C87" s="4" t="s">
        <v>53</v>
      </c>
      <c r="D87" s="4">
        <v>0</v>
      </c>
      <c r="E87" s="4">
        <v>1</v>
      </c>
      <c r="F87" s="4">
        <v>0</v>
      </c>
      <c r="G87" s="4">
        <v>0</v>
      </c>
      <c r="H87" s="4">
        <v>0</v>
      </c>
      <c r="I87" s="4">
        <v>1</v>
      </c>
      <c r="J87" s="4">
        <f>Table1[[#This Row],[Goals]]*1000 + Table1[[#This Row],[Assists]]</f>
        <v>1</v>
      </c>
    </row>
    <row r="88" spans="1:10" x14ac:dyDescent="0.25">
      <c r="A88" s="5">
        <v>46076</v>
      </c>
      <c r="B88" s="4" t="s">
        <v>32</v>
      </c>
      <c r="C88" s="4" t="s">
        <v>28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  <c r="I88" s="4">
        <v>1</v>
      </c>
      <c r="J88" s="4">
        <f>Table1[[#This Row],[Goals]]*1000 + Table1[[#This Row],[Assists]]</f>
        <v>1000</v>
      </c>
    </row>
    <row r="89" spans="1:10" x14ac:dyDescent="0.25">
      <c r="A89" s="5">
        <v>46076</v>
      </c>
      <c r="B89" s="4" t="s">
        <v>32</v>
      </c>
      <c r="C89" s="4" t="s">
        <v>64</v>
      </c>
      <c r="D89" s="4">
        <v>2</v>
      </c>
      <c r="E89" s="4">
        <v>1</v>
      </c>
      <c r="F89" s="4">
        <v>0</v>
      </c>
      <c r="G89" s="4">
        <v>0</v>
      </c>
      <c r="H89" s="4">
        <v>0</v>
      </c>
      <c r="I89" s="4">
        <v>1</v>
      </c>
      <c r="J89" s="4">
        <f>Table1[[#This Row],[Goals]]*1000 + Table1[[#This Row],[Assists]]</f>
        <v>2001</v>
      </c>
    </row>
    <row r="90" spans="1:10" x14ac:dyDescent="0.25">
      <c r="A90" s="5">
        <v>46076</v>
      </c>
      <c r="B90" s="4" t="s">
        <v>32</v>
      </c>
      <c r="C90" s="4" t="s">
        <v>26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  <c r="I90" s="4">
        <v>1</v>
      </c>
      <c r="J90" s="4">
        <f>Table1[[#This Row],[Goals]]*1000 + Table1[[#This Row],[Assists]]</f>
        <v>1000</v>
      </c>
    </row>
    <row r="91" spans="1:10" x14ac:dyDescent="0.25">
      <c r="A91" s="5">
        <v>46076</v>
      </c>
      <c r="B91" s="4" t="s">
        <v>32</v>
      </c>
      <c r="C91" s="4" t="s">
        <v>34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f>Table1[[#This Row],[Goals]]*1000 + Table1[[#This Row],[Assists]]</f>
        <v>0</v>
      </c>
    </row>
    <row r="92" spans="1:10" x14ac:dyDescent="0.25">
      <c r="A92" s="5">
        <v>46083</v>
      </c>
      <c r="B92" s="4" t="s">
        <v>37</v>
      </c>
      <c r="C92" s="4" t="s">
        <v>56</v>
      </c>
      <c r="D92" s="4">
        <v>0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f>Table1[[#This Row],[Goals]]*1000 + Table1[[#This Row],[Assists]]</f>
        <v>0</v>
      </c>
    </row>
    <row r="93" spans="1:10" x14ac:dyDescent="0.25">
      <c r="A93" s="5">
        <v>46083</v>
      </c>
      <c r="B93" s="4" t="s">
        <v>37</v>
      </c>
      <c r="C93" s="4" t="s">
        <v>43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f>Table1[[#This Row],[Goals]]*1000 + Table1[[#This Row],[Assists]]</f>
        <v>0</v>
      </c>
    </row>
    <row r="94" spans="1:10" x14ac:dyDescent="0.25">
      <c r="A94" s="5">
        <v>46083</v>
      </c>
      <c r="B94" s="4" t="s">
        <v>37</v>
      </c>
      <c r="C94" s="4" t="s">
        <v>54</v>
      </c>
      <c r="D94" s="4">
        <v>1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f>Table1[[#This Row],[Goals]]*1000 + Table1[[#This Row],[Assists]]</f>
        <v>1000</v>
      </c>
    </row>
    <row r="95" spans="1:10" x14ac:dyDescent="0.25">
      <c r="A95" s="5">
        <v>46083</v>
      </c>
      <c r="B95" s="4" t="s">
        <v>37</v>
      </c>
      <c r="C95" s="4" t="s">
        <v>53</v>
      </c>
      <c r="D95" s="4">
        <v>0</v>
      </c>
      <c r="E95" s="4">
        <v>1</v>
      </c>
      <c r="F95" s="4">
        <v>0</v>
      </c>
      <c r="G95" s="4">
        <v>1</v>
      </c>
      <c r="H95" s="4">
        <v>0</v>
      </c>
      <c r="I95" s="4">
        <v>0</v>
      </c>
      <c r="J95" s="4">
        <f>Table1[[#This Row],[Goals]]*1000 + Table1[[#This Row],[Assists]]</f>
        <v>1</v>
      </c>
    </row>
    <row r="96" spans="1:10" x14ac:dyDescent="0.25">
      <c r="A96" s="5">
        <v>46083</v>
      </c>
      <c r="B96" s="4" t="s">
        <v>37</v>
      </c>
      <c r="C96" s="4" t="s">
        <v>41</v>
      </c>
      <c r="D96" s="4">
        <v>1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f>Table1[[#This Row],[Goals]]*1000 + Table1[[#This Row],[Assists]]</f>
        <v>1000</v>
      </c>
    </row>
    <row r="97" spans="1:10" x14ac:dyDescent="0.25">
      <c r="A97" s="5">
        <v>46083</v>
      </c>
      <c r="B97" s="4" t="s">
        <v>37</v>
      </c>
      <c r="C97" s="4" t="s">
        <v>42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f>Table1[[#This Row],[Goals]]*1000 + Table1[[#This Row],[Assists]]</f>
        <v>0</v>
      </c>
    </row>
    <row r="98" spans="1:10" x14ac:dyDescent="0.25">
      <c r="A98" s="5">
        <v>46083</v>
      </c>
      <c r="B98" s="4" t="s">
        <v>37</v>
      </c>
      <c r="C98" s="4" t="s">
        <v>34</v>
      </c>
      <c r="D98" s="4">
        <v>1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f>Table1[[#This Row],[Goals]]*1000 + Table1[[#This Row],[Assists]]</f>
        <v>1000</v>
      </c>
    </row>
    <row r="99" spans="1:10" x14ac:dyDescent="0.25">
      <c r="A99" s="5">
        <v>46083</v>
      </c>
      <c r="B99" s="4" t="s">
        <v>37</v>
      </c>
      <c r="C99" s="4" t="s">
        <v>55</v>
      </c>
      <c r="D99" s="4">
        <v>0</v>
      </c>
      <c r="E99" s="4">
        <v>3</v>
      </c>
      <c r="F99" s="4">
        <v>1</v>
      </c>
      <c r="G99" s="4">
        <v>0</v>
      </c>
      <c r="H99" s="4">
        <v>0</v>
      </c>
      <c r="I99" s="4">
        <v>0</v>
      </c>
      <c r="J99" s="4">
        <f>Table1[[#This Row],[Goals]]*1000 + Table1[[#This Row],[Assists]]</f>
        <v>3</v>
      </c>
    </row>
    <row r="100" spans="1:10" x14ac:dyDescent="0.25">
      <c r="A100" s="5">
        <v>46083</v>
      </c>
      <c r="B100" s="4" t="s">
        <v>37</v>
      </c>
      <c r="C100" s="4" t="s">
        <v>33</v>
      </c>
      <c r="D100" s="4">
        <v>2</v>
      </c>
      <c r="E100" s="4">
        <v>2</v>
      </c>
      <c r="F100" s="4">
        <v>1</v>
      </c>
      <c r="G100" s="4">
        <v>0</v>
      </c>
      <c r="H100" s="4">
        <v>0</v>
      </c>
      <c r="I100" s="4">
        <v>0</v>
      </c>
      <c r="J100" s="4">
        <f>Table1[[#This Row],[Goals]]*1000 + Table1[[#This Row],[Assists]]</f>
        <v>2002</v>
      </c>
    </row>
    <row r="101" spans="1:10" x14ac:dyDescent="0.25">
      <c r="A101" s="5">
        <v>46083</v>
      </c>
      <c r="B101" s="4" t="s">
        <v>37</v>
      </c>
      <c r="C101" s="4" t="s">
        <v>57</v>
      </c>
      <c r="D101" s="4">
        <v>1</v>
      </c>
      <c r="E101" s="4">
        <v>0</v>
      </c>
      <c r="F101" s="4">
        <v>1</v>
      </c>
      <c r="G101" s="4">
        <v>0</v>
      </c>
      <c r="H101" s="4">
        <v>0</v>
      </c>
      <c r="I101" s="4">
        <v>0</v>
      </c>
      <c r="J101" s="4">
        <f>Table1[[#This Row],[Goals]]*1000 + Table1[[#This Row],[Assists]]</f>
        <v>1000</v>
      </c>
    </row>
    <row r="102" spans="1:10" x14ac:dyDescent="0.25">
      <c r="A102" s="5">
        <v>46083</v>
      </c>
      <c r="B102" s="4" t="s">
        <v>37</v>
      </c>
      <c r="C102" s="4" t="s">
        <v>28</v>
      </c>
      <c r="D102" s="4">
        <v>1</v>
      </c>
      <c r="E102" s="4">
        <v>0</v>
      </c>
      <c r="F102" s="4">
        <v>1</v>
      </c>
      <c r="G102" s="4">
        <v>0</v>
      </c>
      <c r="H102" s="4">
        <v>0</v>
      </c>
      <c r="I102" s="4">
        <v>0</v>
      </c>
      <c r="J102" s="4">
        <f>Table1[[#This Row],[Goals]]*1000 + Table1[[#This Row],[Assists]]</f>
        <v>1000</v>
      </c>
    </row>
    <row r="103" spans="1:10" x14ac:dyDescent="0.25">
      <c r="A103" s="5">
        <v>46083</v>
      </c>
      <c r="B103" s="4" t="s">
        <v>37</v>
      </c>
      <c r="C103" s="4" t="s">
        <v>40</v>
      </c>
      <c r="D103" s="4">
        <v>1</v>
      </c>
      <c r="E103" s="4">
        <v>0</v>
      </c>
      <c r="F103" s="4">
        <v>1</v>
      </c>
      <c r="G103" s="4">
        <v>0</v>
      </c>
      <c r="H103" s="4">
        <v>0</v>
      </c>
      <c r="I103" s="4">
        <v>0</v>
      </c>
      <c r="J103" s="4">
        <f>Table1[[#This Row],[Goals]]*1000 + Table1[[#This Row],[Assists]]</f>
        <v>1000</v>
      </c>
    </row>
    <row r="104" spans="1:10" x14ac:dyDescent="0.25">
      <c r="A104" s="5">
        <v>46083</v>
      </c>
      <c r="B104" s="4" t="s">
        <v>37</v>
      </c>
      <c r="C104" s="4" t="s">
        <v>62</v>
      </c>
      <c r="D104" s="4">
        <v>0</v>
      </c>
      <c r="E104" s="4">
        <v>0</v>
      </c>
      <c r="F104" s="4">
        <v>1</v>
      </c>
      <c r="G104" s="4">
        <v>0</v>
      </c>
      <c r="H104" s="4">
        <v>0</v>
      </c>
      <c r="I104" s="4">
        <v>0</v>
      </c>
      <c r="J104" s="4">
        <f>Table1[[#This Row],[Goals]]*1000 + Table1[[#This Row],[Assists]]</f>
        <v>0</v>
      </c>
    </row>
    <row r="105" spans="1:10" x14ac:dyDescent="0.25">
      <c r="A105" s="5">
        <v>46083</v>
      </c>
      <c r="B105" s="4" t="s">
        <v>37</v>
      </c>
      <c r="C105" s="4" t="s">
        <v>26</v>
      </c>
      <c r="D105" s="4">
        <v>0</v>
      </c>
      <c r="E105" s="4">
        <v>0</v>
      </c>
      <c r="F105" s="4">
        <v>1</v>
      </c>
      <c r="G105" s="4">
        <v>0</v>
      </c>
      <c r="H105" s="4">
        <v>0</v>
      </c>
      <c r="I105" s="4">
        <v>0</v>
      </c>
      <c r="J105" s="4">
        <f>Table1[[#This Row],[Goals]]*1000 + Table1[[#This Row],[Assists]]</f>
        <v>0</v>
      </c>
    </row>
    <row r="106" spans="1:10" x14ac:dyDescent="0.25">
      <c r="A106" s="5">
        <v>46090</v>
      </c>
      <c r="B106" s="4" t="s">
        <v>38</v>
      </c>
      <c r="C106" s="4" t="s">
        <v>39</v>
      </c>
      <c r="D106" s="4">
        <v>0</v>
      </c>
      <c r="E106" s="4">
        <v>0</v>
      </c>
      <c r="F106" s="4">
        <v>1</v>
      </c>
      <c r="G106" s="4">
        <v>0</v>
      </c>
      <c r="H106" s="4">
        <v>0</v>
      </c>
      <c r="I106" s="4">
        <v>0</v>
      </c>
      <c r="J106" s="4">
        <f>Table1[[#This Row],[Goals]]*1000 + Table1[[#This Row],[Assists]]</f>
        <v>0</v>
      </c>
    </row>
    <row r="107" spans="1:10" x14ac:dyDescent="0.25">
      <c r="A107" s="5">
        <v>46090</v>
      </c>
      <c r="B107" s="4" t="s">
        <v>38</v>
      </c>
      <c r="C107" s="4" t="s">
        <v>44</v>
      </c>
      <c r="D107" s="4">
        <v>2</v>
      </c>
      <c r="E107" s="4">
        <v>0</v>
      </c>
      <c r="F107" s="4">
        <v>1</v>
      </c>
      <c r="G107" s="4">
        <v>0</v>
      </c>
      <c r="H107" s="4">
        <v>0</v>
      </c>
      <c r="I107" s="4">
        <v>0</v>
      </c>
      <c r="J107" s="4">
        <f>Table1[[#This Row],[Goals]]*1000 + Table1[[#This Row],[Assists]]</f>
        <v>2000</v>
      </c>
    </row>
    <row r="108" spans="1:10" x14ac:dyDescent="0.25">
      <c r="A108" s="5">
        <v>46090</v>
      </c>
      <c r="B108" s="4" t="s">
        <v>38</v>
      </c>
      <c r="C108" s="4" t="s">
        <v>62</v>
      </c>
      <c r="D108" s="4">
        <v>2</v>
      </c>
      <c r="E108" s="4">
        <v>1</v>
      </c>
      <c r="F108" s="4">
        <v>1</v>
      </c>
      <c r="G108" s="4">
        <v>0</v>
      </c>
      <c r="H108" s="4">
        <v>0</v>
      </c>
      <c r="I108" s="4">
        <v>0</v>
      </c>
      <c r="J108" s="4">
        <f>Table1[[#This Row],[Goals]]*1000 + Table1[[#This Row],[Assists]]</f>
        <v>2001</v>
      </c>
    </row>
    <row r="109" spans="1:10" x14ac:dyDescent="0.25">
      <c r="A109" s="5">
        <v>46090</v>
      </c>
      <c r="B109" s="4" t="s">
        <v>38</v>
      </c>
      <c r="C109" s="4" t="s">
        <v>41</v>
      </c>
      <c r="D109" s="4">
        <v>0</v>
      </c>
      <c r="E109" s="4">
        <v>0</v>
      </c>
      <c r="F109" s="4">
        <v>1</v>
      </c>
      <c r="G109" s="4">
        <v>0</v>
      </c>
      <c r="H109" s="4">
        <v>0</v>
      </c>
      <c r="I109" s="4">
        <v>0</v>
      </c>
      <c r="J109" s="4">
        <f>Table1[[#This Row],[Goals]]*1000 + Table1[[#This Row],[Assists]]</f>
        <v>0</v>
      </c>
    </row>
    <row r="110" spans="1:10" x14ac:dyDescent="0.25">
      <c r="A110" s="5">
        <v>46090</v>
      </c>
      <c r="B110" s="4" t="s">
        <v>38</v>
      </c>
      <c r="C110" s="4" t="s">
        <v>28</v>
      </c>
      <c r="D110" s="4">
        <v>0</v>
      </c>
      <c r="E110" s="4">
        <v>0</v>
      </c>
      <c r="F110" s="4">
        <v>1</v>
      </c>
      <c r="G110" s="4">
        <v>0</v>
      </c>
      <c r="H110" s="4">
        <v>0</v>
      </c>
      <c r="I110" s="4">
        <v>0</v>
      </c>
      <c r="J110" s="4">
        <f>Table1[[#This Row],[Goals]]*1000 + Table1[[#This Row],[Assists]]</f>
        <v>0</v>
      </c>
    </row>
    <row r="111" spans="1:10" x14ac:dyDescent="0.25">
      <c r="A111" s="5">
        <v>46090</v>
      </c>
      <c r="B111" s="4" t="s">
        <v>38</v>
      </c>
      <c r="C111" s="4" t="s">
        <v>42</v>
      </c>
      <c r="D111" s="4">
        <v>0</v>
      </c>
      <c r="E111" s="4">
        <v>1</v>
      </c>
      <c r="F111" s="4">
        <v>1</v>
      </c>
      <c r="G111" s="4">
        <v>0</v>
      </c>
      <c r="H111" s="4">
        <v>0</v>
      </c>
      <c r="I111" s="4">
        <v>0</v>
      </c>
      <c r="J111" s="4">
        <f>Table1[[#This Row],[Goals]]*1000 + Table1[[#This Row],[Assists]]</f>
        <v>1</v>
      </c>
    </row>
    <row r="112" spans="1:10" x14ac:dyDescent="0.25">
      <c r="A112" s="5">
        <v>46090</v>
      </c>
      <c r="B112" s="4" t="s">
        <v>38</v>
      </c>
      <c r="C112" s="4" t="s">
        <v>33</v>
      </c>
      <c r="D112" s="4">
        <v>0</v>
      </c>
      <c r="E112" s="4">
        <v>1</v>
      </c>
      <c r="F112" s="4">
        <v>1</v>
      </c>
      <c r="G112" s="4">
        <v>0</v>
      </c>
      <c r="H112" s="4">
        <v>0</v>
      </c>
      <c r="I112" s="4">
        <v>0</v>
      </c>
      <c r="J112" s="4">
        <f>Table1[[#This Row],[Goals]]*1000 + Table1[[#This Row],[Assists]]</f>
        <v>1</v>
      </c>
    </row>
    <row r="113" spans="1:10" x14ac:dyDescent="0.25">
      <c r="A113" s="5">
        <v>46090</v>
      </c>
      <c r="B113" s="4" t="s">
        <v>38</v>
      </c>
      <c r="C113" s="4" t="s">
        <v>54</v>
      </c>
      <c r="D113" s="4">
        <v>0</v>
      </c>
      <c r="E113" s="4">
        <v>0</v>
      </c>
      <c r="F113" s="4">
        <v>0</v>
      </c>
      <c r="G113" s="4">
        <v>1</v>
      </c>
      <c r="H113" s="4">
        <v>0</v>
      </c>
      <c r="I113" s="4">
        <v>0</v>
      </c>
      <c r="J113" s="4">
        <f>Table1[[#This Row],[Goals]]*1000 + Table1[[#This Row],[Assists]]</f>
        <v>0</v>
      </c>
    </row>
    <row r="114" spans="1:10" x14ac:dyDescent="0.25">
      <c r="A114" s="5">
        <v>46090</v>
      </c>
      <c r="B114" s="4" t="s">
        <v>38</v>
      </c>
      <c r="C114" s="4" t="s">
        <v>40</v>
      </c>
      <c r="D114" s="4">
        <v>1</v>
      </c>
      <c r="E114" s="4">
        <v>1</v>
      </c>
      <c r="F114" s="4">
        <v>0</v>
      </c>
      <c r="G114" s="4">
        <v>1</v>
      </c>
      <c r="H114" s="4">
        <v>0</v>
      </c>
      <c r="I114" s="4">
        <v>0</v>
      </c>
      <c r="J114" s="4">
        <f>Table1[[#This Row],[Goals]]*1000 + Table1[[#This Row],[Assists]]</f>
        <v>1001</v>
      </c>
    </row>
    <row r="115" spans="1:10" x14ac:dyDescent="0.25">
      <c r="A115" s="5">
        <v>46090</v>
      </c>
      <c r="B115" s="4" t="s">
        <v>38</v>
      </c>
      <c r="C115" s="4" t="s">
        <v>53</v>
      </c>
      <c r="D115" s="4">
        <v>0</v>
      </c>
      <c r="E115" s="4">
        <v>0</v>
      </c>
      <c r="F115" s="4">
        <v>0</v>
      </c>
      <c r="G115" s="4">
        <v>1</v>
      </c>
      <c r="H115" s="4">
        <v>0</v>
      </c>
      <c r="I115" s="4">
        <v>0</v>
      </c>
      <c r="J115" s="4">
        <f>Table1[[#This Row],[Goals]]*1000 + Table1[[#This Row],[Assists]]</f>
        <v>0</v>
      </c>
    </row>
    <row r="116" spans="1:10" x14ac:dyDescent="0.25">
      <c r="A116" s="5">
        <v>46090</v>
      </c>
      <c r="B116" s="4" t="s">
        <v>38</v>
      </c>
      <c r="C116" s="4" t="s">
        <v>57</v>
      </c>
      <c r="D116" s="4">
        <v>0</v>
      </c>
      <c r="E116" s="4">
        <v>0</v>
      </c>
      <c r="F116" s="4">
        <v>0</v>
      </c>
      <c r="G116" s="4">
        <v>1</v>
      </c>
      <c r="H116" s="4">
        <v>0</v>
      </c>
      <c r="I116" s="4">
        <v>0</v>
      </c>
      <c r="J116" s="4">
        <f>Table1[[#This Row],[Goals]]*1000 + Table1[[#This Row],[Assists]]</f>
        <v>0</v>
      </c>
    </row>
    <row r="117" spans="1:10" x14ac:dyDescent="0.25">
      <c r="A117" s="5">
        <v>46090</v>
      </c>
      <c r="B117" s="4" t="s">
        <v>38</v>
      </c>
      <c r="C117" s="4" t="s">
        <v>55</v>
      </c>
      <c r="D117" s="4">
        <v>1</v>
      </c>
      <c r="E117" s="4">
        <v>0</v>
      </c>
      <c r="F117" s="4">
        <v>0</v>
      </c>
      <c r="G117" s="4">
        <v>1</v>
      </c>
      <c r="H117" s="4">
        <v>0</v>
      </c>
      <c r="I117" s="4">
        <v>0</v>
      </c>
      <c r="J117" s="4">
        <f>Table1[[#This Row],[Goals]]*1000 + Table1[[#This Row],[Assists]]</f>
        <v>1000</v>
      </c>
    </row>
    <row r="118" spans="1:10" x14ac:dyDescent="0.25">
      <c r="A118" s="5">
        <v>46090</v>
      </c>
      <c r="B118" s="4" t="s">
        <v>38</v>
      </c>
      <c r="C118" s="4" t="s">
        <v>43</v>
      </c>
      <c r="D118" s="4">
        <v>0</v>
      </c>
      <c r="E118" s="4">
        <v>0</v>
      </c>
      <c r="F118" s="4">
        <v>0</v>
      </c>
      <c r="G118" s="4">
        <v>1</v>
      </c>
      <c r="H118" s="4">
        <v>0</v>
      </c>
      <c r="I118" s="4">
        <v>0</v>
      </c>
      <c r="J118" s="4">
        <f>Table1[[#This Row],[Goals]]*1000 + Table1[[#This Row],[Assists]]</f>
        <v>0</v>
      </c>
    </row>
    <row r="119" spans="1:10" x14ac:dyDescent="0.25">
      <c r="A119" s="5">
        <v>46090</v>
      </c>
      <c r="B119" s="4" t="s">
        <v>38</v>
      </c>
      <c r="C119" s="4" t="s">
        <v>11</v>
      </c>
      <c r="D119" s="4">
        <v>2</v>
      </c>
      <c r="E119" s="4">
        <v>1</v>
      </c>
      <c r="F119" s="4">
        <v>0</v>
      </c>
      <c r="G119" s="4">
        <v>1</v>
      </c>
      <c r="H119" s="4">
        <v>0</v>
      </c>
      <c r="I119" s="4">
        <v>0</v>
      </c>
      <c r="J119" s="4">
        <f>Table1[[#This Row],[Goals]]*1000 + Table1[[#This Row],[Assists]]</f>
        <v>2001</v>
      </c>
    </row>
    <row r="120" spans="1:10" x14ac:dyDescent="0.25">
      <c r="A120" s="5">
        <v>46097</v>
      </c>
      <c r="B120" s="4" t="s">
        <v>37</v>
      </c>
      <c r="C120" s="4" t="s">
        <v>56</v>
      </c>
      <c r="D120" s="4">
        <v>0</v>
      </c>
      <c r="E120" s="4">
        <v>0</v>
      </c>
      <c r="F120" s="4">
        <v>0</v>
      </c>
      <c r="G120" s="4">
        <v>1</v>
      </c>
      <c r="H120" s="4">
        <v>0</v>
      </c>
      <c r="I120" s="4">
        <v>0</v>
      </c>
      <c r="J120" s="4">
        <f>Table1[[#This Row],[Goals]]*1000 + Table1[[#This Row],[Assists]]</f>
        <v>0</v>
      </c>
    </row>
    <row r="121" spans="1:10" x14ac:dyDescent="0.25">
      <c r="A121" s="5">
        <v>46097</v>
      </c>
      <c r="B121" s="4" t="s">
        <v>37</v>
      </c>
      <c r="C121" s="4" t="s">
        <v>55</v>
      </c>
      <c r="D121" s="4">
        <v>2</v>
      </c>
      <c r="E121" s="4">
        <v>0</v>
      </c>
      <c r="F121" s="4">
        <v>0</v>
      </c>
      <c r="G121" s="4">
        <v>1</v>
      </c>
      <c r="H121" s="4">
        <v>0</v>
      </c>
      <c r="I121" s="4">
        <v>0</v>
      </c>
      <c r="J121" s="4">
        <f>Table1[[#This Row],[Goals]]*1000 + Table1[[#This Row],[Assists]]</f>
        <v>2000</v>
      </c>
    </row>
    <row r="122" spans="1:10" x14ac:dyDescent="0.25">
      <c r="A122" s="5">
        <v>46097</v>
      </c>
      <c r="B122" s="4" t="s">
        <v>37</v>
      </c>
      <c r="C122" s="4" t="s">
        <v>57</v>
      </c>
      <c r="D122" s="4">
        <v>0</v>
      </c>
      <c r="E122" s="4">
        <v>0</v>
      </c>
      <c r="F122" s="4">
        <v>0</v>
      </c>
      <c r="G122" s="4">
        <v>1</v>
      </c>
      <c r="H122" s="4">
        <v>0</v>
      </c>
      <c r="I122" s="4">
        <v>0</v>
      </c>
      <c r="J122" s="4">
        <f>Table1[[#This Row],[Goals]]*1000 + Table1[[#This Row],[Assists]]</f>
        <v>0</v>
      </c>
    </row>
    <row r="123" spans="1:10" x14ac:dyDescent="0.25">
      <c r="A123" s="5">
        <v>46097</v>
      </c>
      <c r="B123" s="4" t="s">
        <v>37</v>
      </c>
      <c r="C123" s="4" t="s">
        <v>43</v>
      </c>
      <c r="D123" s="4">
        <v>0</v>
      </c>
      <c r="E123" s="4">
        <v>0</v>
      </c>
      <c r="F123" s="4">
        <v>0</v>
      </c>
      <c r="G123" s="4">
        <v>1</v>
      </c>
      <c r="H123" s="4">
        <v>0</v>
      </c>
      <c r="I123" s="4">
        <v>0</v>
      </c>
      <c r="J123" s="4">
        <f>Table1[[#This Row],[Goals]]*1000 + Table1[[#This Row],[Assists]]</f>
        <v>0</v>
      </c>
    </row>
    <row r="124" spans="1:10" x14ac:dyDescent="0.25">
      <c r="A124" s="5">
        <v>46097</v>
      </c>
      <c r="B124" s="4" t="s">
        <v>37</v>
      </c>
      <c r="C124" s="4" t="s">
        <v>33</v>
      </c>
      <c r="D124" s="4">
        <v>0</v>
      </c>
      <c r="E124" s="4">
        <v>1</v>
      </c>
      <c r="F124" s="4">
        <v>0</v>
      </c>
      <c r="G124" s="4">
        <v>1</v>
      </c>
      <c r="H124" s="4">
        <v>0</v>
      </c>
      <c r="I124" s="4">
        <v>0</v>
      </c>
      <c r="J124" s="4">
        <f>Table1[[#This Row],[Goals]]*1000 + Table1[[#This Row],[Assists]]</f>
        <v>1</v>
      </c>
    </row>
    <row r="125" spans="1:10" x14ac:dyDescent="0.25">
      <c r="A125" s="5">
        <v>46097</v>
      </c>
      <c r="B125" s="4" t="s">
        <v>37</v>
      </c>
      <c r="C125" s="4" t="s">
        <v>4</v>
      </c>
      <c r="D125" s="4">
        <v>0</v>
      </c>
      <c r="E125" s="4">
        <v>0</v>
      </c>
      <c r="F125" s="4">
        <v>0</v>
      </c>
      <c r="G125" s="4">
        <v>1</v>
      </c>
      <c r="H125" s="4">
        <v>0</v>
      </c>
      <c r="I125" s="4">
        <v>0</v>
      </c>
      <c r="J125" s="4">
        <f>Table1[[#This Row],[Goals]]*1000 + Table1[[#This Row],[Assists]]</f>
        <v>0</v>
      </c>
    </row>
    <row r="126" spans="1:10" x14ac:dyDescent="0.25">
      <c r="A126" s="5">
        <v>46097</v>
      </c>
      <c r="B126" s="4" t="s">
        <v>37</v>
      </c>
      <c r="C126" s="4" t="s">
        <v>42</v>
      </c>
      <c r="D126" s="4">
        <v>1</v>
      </c>
      <c r="E126" s="4">
        <v>2</v>
      </c>
      <c r="F126" s="4">
        <v>0</v>
      </c>
      <c r="G126" s="4">
        <v>1</v>
      </c>
      <c r="H126" s="4">
        <v>0</v>
      </c>
      <c r="I126" s="4">
        <v>0</v>
      </c>
      <c r="J126" s="4">
        <f>Table1[[#This Row],[Goals]]*1000 + Table1[[#This Row],[Assists]]</f>
        <v>1002</v>
      </c>
    </row>
    <row r="127" spans="1:10" x14ac:dyDescent="0.25">
      <c r="A127" s="5">
        <v>46097</v>
      </c>
      <c r="B127" s="4" t="s">
        <v>37</v>
      </c>
      <c r="C127" s="4" t="s">
        <v>54</v>
      </c>
      <c r="D127" s="4">
        <v>2</v>
      </c>
      <c r="E127" s="4">
        <v>0</v>
      </c>
      <c r="F127" s="4">
        <v>1</v>
      </c>
      <c r="G127" s="4">
        <v>0</v>
      </c>
      <c r="H127" s="4">
        <v>0</v>
      </c>
      <c r="I127" s="4">
        <v>0</v>
      </c>
      <c r="J127" s="4">
        <f>Table1[[#This Row],[Goals]]*1000 + Table1[[#This Row],[Assists]]</f>
        <v>2000</v>
      </c>
    </row>
    <row r="128" spans="1:10" x14ac:dyDescent="0.25">
      <c r="A128" s="5">
        <v>46097</v>
      </c>
      <c r="B128" s="4" t="s">
        <v>37</v>
      </c>
      <c r="C128" s="4" t="s">
        <v>62</v>
      </c>
      <c r="D128" s="4">
        <v>0</v>
      </c>
      <c r="E128" s="4">
        <v>1</v>
      </c>
      <c r="F128" s="4">
        <v>1</v>
      </c>
      <c r="G128" s="4">
        <v>0</v>
      </c>
      <c r="H128" s="4">
        <v>0</v>
      </c>
      <c r="I128" s="4">
        <v>0</v>
      </c>
      <c r="J128" s="4">
        <f>Table1[[#This Row],[Goals]]*1000 + Table1[[#This Row],[Assists]]</f>
        <v>1</v>
      </c>
    </row>
    <row r="129" spans="1:10" x14ac:dyDescent="0.25">
      <c r="A129" s="5">
        <v>46097</v>
      </c>
      <c r="B129" s="4" t="s">
        <v>37</v>
      </c>
      <c r="C129" s="4" t="s">
        <v>28</v>
      </c>
      <c r="D129" s="4">
        <v>0</v>
      </c>
      <c r="E129" s="4">
        <v>0</v>
      </c>
      <c r="F129" s="4">
        <v>1</v>
      </c>
      <c r="G129" s="4">
        <v>0</v>
      </c>
      <c r="H129" s="4">
        <v>0</v>
      </c>
      <c r="I129" s="4">
        <v>0</v>
      </c>
      <c r="J129" s="4">
        <f>Table1[[#This Row],[Goals]]*1000 + Table1[[#This Row],[Assists]]</f>
        <v>0</v>
      </c>
    </row>
    <row r="130" spans="1:10" x14ac:dyDescent="0.25">
      <c r="A130" s="5">
        <v>46097</v>
      </c>
      <c r="B130" s="4" t="s">
        <v>37</v>
      </c>
      <c r="C130" s="4" t="s">
        <v>41</v>
      </c>
      <c r="D130" s="4">
        <v>1</v>
      </c>
      <c r="E130" s="4">
        <v>1</v>
      </c>
      <c r="F130" s="4">
        <v>1</v>
      </c>
      <c r="G130" s="4">
        <v>0</v>
      </c>
      <c r="H130" s="4">
        <v>0</v>
      </c>
      <c r="I130" s="4">
        <v>0</v>
      </c>
      <c r="J130" s="4">
        <f>Table1[[#This Row],[Goals]]*1000 + Table1[[#This Row],[Assists]]</f>
        <v>1001</v>
      </c>
    </row>
    <row r="131" spans="1:10" x14ac:dyDescent="0.25">
      <c r="A131" s="5">
        <v>46097</v>
      </c>
      <c r="B131" s="4" t="s">
        <v>37</v>
      </c>
      <c r="C131" s="4" t="s">
        <v>53</v>
      </c>
      <c r="D131" s="4">
        <v>0</v>
      </c>
      <c r="E131" s="4">
        <v>0</v>
      </c>
      <c r="F131" s="4">
        <v>1</v>
      </c>
      <c r="G131" s="4">
        <v>0</v>
      </c>
      <c r="H131" s="4">
        <v>0</v>
      </c>
      <c r="I131" s="4">
        <v>0</v>
      </c>
      <c r="J131" s="4">
        <f>Table1[[#This Row],[Goals]]*1000 + Table1[[#This Row],[Assists]]</f>
        <v>0</v>
      </c>
    </row>
    <row r="132" spans="1:10" x14ac:dyDescent="0.25">
      <c r="A132" s="5">
        <v>46097</v>
      </c>
      <c r="B132" s="4" t="s">
        <v>37</v>
      </c>
      <c r="C132" s="4" t="s">
        <v>26</v>
      </c>
      <c r="D132" s="4">
        <v>2</v>
      </c>
      <c r="E132" s="4">
        <v>1</v>
      </c>
      <c r="F132" s="4">
        <v>1</v>
      </c>
      <c r="G132" s="4">
        <v>0</v>
      </c>
      <c r="H132" s="4">
        <v>0</v>
      </c>
      <c r="I132" s="4">
        <v>0</v>
      </c>
      <c r="J132" s="4">
        <f>Table1[[#This Row],[Goals]]*1000 + Table1[[#This Row],[Assists]]</f>
        <v>2001</v>
      </c>
    </row>
    <row r="133" spans="1:10" x14ac:dyDescent="0.25">
      <c r="A133" s="5">
        <v>46097</v>
      </c>
      <c r="B133" s="4" t="s">
        <v>37</v>
      </c>
      <c r="C133" s="4" t="s">
        <v>40</v>
      </c>
      <c r="D133" s="4">
        <v>0</v>
      </c>
      <c r="E133" s="4">
        <v>0</v>
      </c>
      <c r="F133" s="4">
        <v>1</v>
      </c>
      <c r="G133" s="4">
        <v>0</v>
      </c>
      <c r="H133" s="4">
        <v>0</v>
      </c>
      <c r="I133" s="4">
        <v>0</v>
      </c>
      <c r="J133" s="4">
        <f>Table1[[#This Row],[Goals]]*1000 + Table1[[#This Row],[Assists]]</f>
        <v>0</v>
      </c>
    </row>
    <row r="134" spans="1:10" x14ac:dyDescent="0.25">
      <c r="A134" s="5">
        <v>46104</v>
      </c>
      <c r="B134" s="4" t="s">
        <v>37</v>
      </c>
      <c r="C134" s="4" t="s">
        <v>56</v>
      </c>
      <c r="D134" s="4">
        <v>0</v>
      </c>
      <c r="E134" s="4">
        <v>1</v>
      </c>
      <c r="F134" s="4">
        <v>1</v>
      </c>
      <c r="G134" s="4">
        <v>0</v>
      </c>
      <c r="H134" s="4">
        <v>0</v>
      </c>
      <c r="I134" s="4">
        <v>0</v>
      </c>
      <c r="J134" s="4">
        <f>Table1[[#This Row],[Goals]]*1000 + Table1[[#This Row],[Assists]]</f>
        <v>1</v>
      </c>
    </row>
    <row r="135" spans="1:10" x14ac:dyDescent="0.25">
      <c r="A135" s="5">
        <v>46104</v>
      </c>
      <c r="B135" s="4" t="s">
        <v>37</v>
      </c>
      <c r="C135" s="4" t="s">
        <v>43</v>
      </c>
      <c r="D135" s="4">
        <v>0</v>
      </c>
      <c r="E135" s="4">
        <v>0</v>
      </c>
      <c r="F135" s="4">
        <v>1</v>
      </c>
      <c r="G135" s="4">
        <v>0</v>
      </c>
      <c r="H135" s="4">
        <v>0</v>
      </c>
      <c r="I135" s="4">
        <v>0</v>
      </c>
      <c r="J135" s="4">
        <f>Table1[[#This Row],[Goals]]*1000 + Table1[[#This Row],[Assists]]</f>
        <v>0</v>
      </c>
    </row>
    <row r="136" spans="1:10" x14ac:dyDescent="0.25">
      <c r="A136" s="5">
        <v>46104</v>
      </c>
      <c r="B136" s="4" t="s">
        <v>37</v>
      </c>
      <c r="C136" s="4" t="s">
        <v>63</v>
      </c>
      <c r="D136" s="4">
        <v>0</v>
      </c>
      <c r="E136" s="4">
        <v>0</v>
      </c>
      <c r="F136" s="4">
        <v>1</v>
      </c>
      <c r="G136" s="4">
        <v>0</v>
      </c>
      <c r="H136" s="4">
        <v>0</v>
      </c>
      <c r="I136" s="4">
        <v>0</v>
      </c>
      <c r="J136" s="4">
        <f>Table1[[#This Row],[Goals]]*1000 + Table1[[#This Row],[Assists]]</f>
        <v>0</v>
      </c>
    </row>
    <row r="137" spans="1:10" x14ac:dyDescent="0.25">
      <c r="A137" s="5">
        <v>46104</v>
      </c>
      <c r="B137" s="4" t="s">
        <v>37</v>
      </c>
      <c r="C137" s="4" t="s">
        <v>57</v>
      </c>
      <c r="D137" s="4">
        <v>1</v>
      </c>
      <c r="E137" s="4">
        <v>0</v>
      </c>
      <c r="F137" s="4">
        <v>1</v>
      </c>
      <c r="G137" s="4">
        <v>0</v>
      </c>
      <c r="H137" s="4">
        <v>0</v>
      </c>
      <c r="I137" s="4">
        <v>0</v>
      </c>
      <c r="J137" s="4">
        <f>Table1[[#This Row],[Goals]]*1000 + Table1[[#This Row],[Assists]]</f>
        <v>1000</v>
      </c>
    </row>
    <row r="138" spans="1:10" x14ac:dyDescent="0.25">
      <c r="A138" s="5">
        <v>46104</v>
      </c>
      <c r="B138" s="4" t="s">
        <v>37</v>
      </c>
      <c r="C138" s="4" t="s">
        <v>28</v>
      </c>
      <c r="D138" s="4">
        <v>1</v>
      </c>
      <c r="E138" s="4">
        <v>0</v>
      </c>
      <c r="F138" s="4">
        <v>1</v>
      </c>
      <c r="G138" s="4">
        <v>0</v>
      </c>
      <c r="H138" s="4">
        <v>0</v>
      </c>
      <c r="I138" s="4">
        <v>0</v>
      </c>
      <c r="J138" s="4">
        <f>Table1[[#This Row],[Goals]]*1000 + Table1[[#This Row],[Assists]]</f>
        <v>1000</v>
      </c>
    </row>
    <row r="139" spans="1:10" x14ac:dyDescent="0.25">
      <c r="A139" s="5">
        <v>46104</v>
      </c>
      <c r="B139" s="4" t="s">
        <v>37</v>
      </c>
      <c r="C139" s="4" t="s">
        <v>33</v>
      </c>
      <c r="D139" s="4">
        <v>0</v>
      </c>
      <c r="E139" s="4">
        <v>0</v>
      </c>
      <c r="F139" s="4">
        <v>1</v>
      </c>
      <c r="G139" s="4">
        <v>0</v>
      </c>
      <c r="H139" s="4">
        <v>0</v>
      </c>
      <c r="I139" s="4">
        <v>0</v>
      </c>
      <c r="J139" s="4">
        <f>Table1[[#This Row],[Goals]]*1000 + Table1[[#This Row],[Assists]]</f>
        <v>0</v>
      </c>
    </row>
    <row r="140" spans="1:10" x14ac:dyDescent="0.25">
      <c r="A140" s="5">
        <v>46104</v>
      </c>
      <c r="B140" s="4" t="s">
        <v>37</v>
      </c>
      <c r="C140" s="4" t="s">
        <v>42</v>
      </c>
      <c r="D140" s="4">
        <v>3</v>
      </c>
      <c r="E140" s="4">
        <v>0</v>
      </c>
      <c r="F140" s="4">
        <v>1</v>
      </c>
      <c r="G140" s="4">
        <v>0</v>
      </c>
      <c r="H140" s="4">
        <v>0</v>
      </c>
      <c r="I140" s="4">
        <v>0</v>
      </c>
      <c r="J140" s="4">
        <f>Table1[[#This Row],[Goals]]*1000 + Table1[[#This Row],[Assists]]</f>
        <v>3000</v>
      </c>
    </row>
    <row r="141" spans="1:10" x14ac:dyDescent="0.25">
      <c r="A141" s="5">
        <v>46104</v>
      </c>
      <c r="B141" s="4" t="s">
        <v>37</v>
      </c>
      <c r="C141" s="4" t="s">
        <v>39</v>
      </c>
      <c r="D141" s="4">
        <v>0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f>Table1[[#This Row],[Goals]]*1000 + Table1[[#This Row],[Assists]]</f>
        <v>0</v>
      </c>
    </row>
    <row r="142" spans="1:10" x14ac:dyDescent="0.25">
      <c r="A142" s="5">
        <v>46104</v>
      </c>
      <c r="B142" s="4" t="s">
        <v>37</v>
      </c>
      <c r="C142" s="4" t="s">
        <v>54</v>
      </c>
      <c r="D142" s="4">
        <v>0</v>
      </c>
      <c r="E142" s="4">
        <v>1</v>
      </c>
      <c r="F142" s="4">
        <v>0</v>
      </c>
      <c r="G142" s="4">
        <v>1</v>
      </c>
      <c r="H142" s="4">
        <v>0</v>
      </c>
      <c r="I142" s="4">
        <v>0</v>
      </c>
      <c r="J142" s="4">
        <f>Table1[[#This Row],[Goals]]*1000 + Table1[[#This Row],[Assists]]</f>
        <v>1</v>
      </c>
    </row>
    <row r="143" spans="1:10" x14ac:dyDescent="0.25">
      <c r="A143" s="5">
        <v>46104</v>
      </c>
      <c r="B143" s="4" t="s">
        <v>37</v>
      </c>
      <c r="C143" s="4" t="s">
        <v>62</v>
      </c>
      <c r="D143" s="4">
        <v>0</v>
      </c>
      <c r="E143" s="4">
        <v>0</v>
      </c>
      <c r="F143" s="4">
        <v>0</v>
      </c>
      <c r="G143" s="4">
        <v>1</v>
      </c>
      <c r="H143" s="4">
        <v>0</v>
      </c>
      <c r="I143" s="4">
        <v>0</v>
      </c>
      <c r="J143" s="4">
        <f>Table1[[#This Row],[Goals]]*1000 + Table1[[#This Row],[Assists]]</f>
        <v>0</v>
      </c>
    </row>
    <row r="144" spans="1:10" x14ac:dyDescent="0.25">
      <c r="A144" s="5">
        <v>46104</v>
      </c>
      <c r="B144" s="4" t="s">
        <v>37</v>
      </c>
      <c r="C144" s="4" t="s">
        <v>41</v>
      </c>
      <c r="D144" s="4">
        <v>1</v>
      </c>
      <c r="E144" s="4">
        <v>1</v>
      </c>
      <c r="F144" s="4">
        <v>0</v>
      </c>
      <c r="G144" s="4">
        <v>1</v>
      </c>
      <c r="H144" s="4">
        <v>0</v>
      </c>
      <c r="I144" s="4">
        <v>0</v>
      </c>
      <c r="J144" s="4">
        <f>Table1[[#This Row],[Goals]]*1000 + Table1[[#This Row],[Assists]]</f>
        <v>1001</v>
      </c>
    </row>
    <row r="145" spans="1:10" x14ac:dyDescent="0.25">
      <c r="A145" s="5">
        <v>46104</v>
      </c>
      <c r="B145" s="4" t="s">
        <v>37</v>
      </c>
      <c r="C145" s="4" t="s">
        <v>53</v>
      </c>
      <c r="D145" s="4">
        <v>0</v>
      </c>
      <c r="E145" s="4">
        <v>0</v>
      </c>
      <c r="F145" s="4">
        <v>0</v>
      </c>
      <c r="G145" s="4">
        <v>1</v>
      </c>
      <c r="H145" s="4">
        <v>0</v>
      </c>
      <c r="I145" s="4">
        <v>0</v>
      </c>
      <c r="J145" s="4">
        <f>Table1[[#This Row],[Goals]]*1000 + Table1[[#This Row],[Assists]]</f>
        <v>0</v>
      </c>
    </row>
    <row r="146" spans="1:10" x14ac:dyDescent="0.25">
      <c r="A146" s="5">
        <v>46104</v>
      </c>
      <c r="B146" s="4" t="s">
        <v>37</v>
      </c>
      <c r="C146" s="4" t="s">
        <v>40</v>
      </c>
      <c r="D146" s="4">
        <v>0</v>
      </c>
      <c r="E146" s="4">
        <v>0</v>
      </c>
      <c r="F146" s="4">
        <v>0</v>
      </c>
      <c r="G146" s="4">
        <v>1</v>
      </c>
      <c r="H146" s="4">
        <v>0</v>
      </c>
      <c r="I146" s="4">
        <v>0</v>
      </c>
      <c r="J146" s="4">
        <f>Table1[[#This Row],[Goals]]*1000 + Table1[[#This Row],[Assists]]</f>
        <v>0</v>
      </c>
    </row>
    <row r="147" spans="1:10" x14ac:dyDescent="0.25">
      <c r="A147" s="5">
        <v>46104</v>
      </c>
      <c r="B147" s="4" t="s">
        <v>37</v>
      </c>
      <c r="C147" s="4" t="s">
        <v>11</v>
      </c>
      <c r="D147" s="4">
        <v>2</v>
      </c>
      <c r="E147" s="4">
        <v>1</v>
      </c>
      <c r="F147" s="4">
        <v>0</v>
      </c>
      <c r="G147" s="4">
        <v>1</v>
      </c>
      <c r="H147" s="4">
        <v>0</v>
      </c>
      <c r="I147" s="4">
        <v>0</v>
      </c>
      <c r="J147" s="4">
        <f>Table1[[#This Row],[Goals]]*1000 + Table1[[#This Row],[Assists]]</f>
        <v>2001</v>
      </c>
    </row>
    <row r="148" spans="1:10" x14ac:dyDescent="0.25">
      <c r="A148" s="5">
        <v>46111</v>
      </c>
      <c r="B148" s="4" t="s">
        <v>45</v>
      </c>
      <c r="C148" s="4" t="s">
        <v>54</v>
      </c>
      <c r="D148" s="4">
        <v>0</v>
      </c>
      <c r="E148" s="4">
        <v>0</v>
      </c>
      <c r="F148" s="4">
        <v>0</v>
      </c>
      <c r="G148" s="4">
        <v>0</v>
      </c>
      <c r="H148" s="4">
        <v>1</v>
      </c>
      <c r="I148" s="4">
        <v>0</v>
      </c>
      <c r="J148" s="4">
        <f>Table1[[#This Row],[Goals]]*1000 + Table1[[#This Row],[Assists]]</f>
        <v>0</v>
      </c>
    </row>
    <row r="149" spans="1:10" x14ac:dyDescent="0.25">
      <c r="A149" s="5">
        <v>46111</v>
      </c>
      <c r="B149" s="4" t="s">
        <v>45</v>
      </c>
      <c r="C149" s="4" t="s">
        <v>41</v>
      </c>
      <c r="D149" s="4">
        <v>0</v>
      </c>
      <c r="E149" s="4">
        <v>2</v>
      </c>
      <c r="F149" s="4">
        <v>0</v>
      </c>
      <c r="G149" s="4">
        <v>0</v>
      </c>
      <c r="H149" s="4">
        <v>1</v>
      </c>
      <c r="I149" s="4">
        <v>0</v>
      </c>
      <c r="J149" s="4">
        <f>Table1[[#This Row],[Goals]]*1000 + Table1[[#This Row],[Assists]]</f>
        <v>2</v>
      </c>
    </row>
    <row r="150" spans="1:10" x14ac:dyDescent="0.25">
      <c r="A150" s="5">
        <v>46111</v>
      </c>
      <c r="B150" s="4" t="s">
        <v>45</v>
      </c>
      <c r="C150" s="4" t="s">
        <v>42</v>
      </c>
      <c r="D150" s="4">
        <v>2</v>
      </c>
      <c r="E150" s="4">
        <v>1</v>
      </c>
      <c r="F150" s="4">
        <v>0</v>
      </c>
      <c r="G150" s="4">
        <v>0</v>
      </c>
      <c r="H150" s="4">
        <v>1</v>
      </c>
      <c r="I150" s="4">
        <v>0</v>
      </c>
      <c r="J150" s="4">
        <f>Table1[[#This Row],[Goals]]*1000 + Table1[[#This Row],[Assists]]</f>
        <v>2001</v>
      </c>
    </row>
    <row r="151" spans="1:10" x14ac:dyDescent="0.25">
      <c r="A151" s="5">
        <v>46111</v>
      </c>
      <c r="B151" s="4" t="s">
        <v>45</v>
      </c>
      <c r="C151" s="4" t="s">
        <v>57</v>
      </c>
      <c r="D151" s="4">
        <v>3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4">
        <f>Table1[[#This Row],[Goals]]*1000 + Table1[[#This Row],[Assists]]</f>
        <v>3000</v>
      </c>
    </row>
    <row r="152" spans="1:10" x14ac:dyDescent="0.25">
      <c r="A152" s="5">
        <v>46111</v>
      </c>
      <c r="B152" s="4" t="s">
        <v>45</v>
      </c>
      <c r="C152" s="4" t="s">
        <v>53</v>
      </c>
      <c r="D152" s="4">
        <v>1</v>
      </c>
      <c r="E152" s="4">
        <v>2</v>
      </c>
      <c r="F152" s="4">
        <v>0</v>
      </c>
      <c r="G152" s="4">
        <v>0</v>
      </c>
      <c r="H152" s="4">
        <v>1</v>
      </c>
      <c r="I152" s="4">
        <v>0</v>
      </c>
      <c r="J152" s="4">
        <f>Table1[[#This Row],[Goals]]*1000 + Table1[[#This Row],[Assists]]</f>
        <v>1002</v>
      </c>
    </row>
    <row r="153" spans="1:10" x14ac:dyDescent="0.25">
      <c r="A153" s="5">
        <v>46111</v>
      </c>
      <c r="B153" s="4" t="s">
        <v>45</v>
      </c>
      <c r="C153" s="4" t="s">
        <v>4</v>
      </c>
      <c r="D153" s="4">
        <v>0</v>
      </c>
      <c r="E153" s="4">
        <v>1</v>
      </c>
      <c r="F153" s="4">
        <v>0</v>
      </c>
      <c r="G153" s="4">
        <v>0</v>
      </c>
      <c r="H153" s="4">
        <v>1</v>
      </c>
      <c r="I153" s="4">
        <v>0</v>
      </c>
      <c r="J153" s="4">
        <f>Table1[[#This Row],[Goals]]*1000 + Table1[[#This Row],[Assists]]</f>
        <v>1</v>
      </c>
    </row>
    <row r="154" spans="1:10" x14ac:dyDescent="0.25">
      <c r="A154" s="5">
        <v>46111</v>
      </c>
      <c r="B154" s="4" t="s">
        <v>45</v>
      </c>
      <c r="C154" s="4" t="s">
        <v>61</v>
      </c>
      <c r="D154" s="4">
        <v>0</v>
      </c>
      <c r="E154" s="4">
        <v>1</v>
      </c>
      <c r="F154" s="4">
        <v>0</v>
      </c>
      <c r="G154" s="4">
        <v>0</v>
      </c>
      <c r="H154" s="4">
        <v>1</v>
      </c>
      <c r="I154" s="4">
        <v>0</v>
      </c>
      <c r="J154" s="4">
        <f>Table1[[#This Row],[Goals]]*1000 + Table1[[#This Row],[Assists]]</f>
        <v>1</v>
      </c>
    </row>
    <row r="155" spans="1:10" x14ac:dyDescent="0.25">
      <c r="A155" s="5">
        <v>46111</v>
      </c>
      <c r="B155" s="4" t="s">
        <v>45</v>
      </c>
      <c r="C155" s="4" t="s">
        <v>33</v>
      </c>
      <c r="D155" s="4">
        <v>2</v>
      </c>
      <c r="E155" s="4">
        <v>1</v>
      </c>
      <c r="F155" s="4">
        <v>0</v>
      </c>
      <c r="G155" s="4">
        <v>0</v>
      </c>
      <c r="H155" s="4">
        <v>1</v>
      </c>
      <c r="I155" s="4">
        <v>0</v>
      </c>
      <c r="J155" s="4">
        <f>Table1[[#This Row],[Goals]]*1000 + Table1[[#This Row],[Assists]]</f>
        <v>2001</v>
      </c>
    </row>
    <row r="156" spans="1:10" x14ac:dyDescent="0.25">
      <c r="A156" s="5">
        <v>46111</v>
      </c>
      <c r="B156" s="4" t="s">
        <v>45</v>
      </c>
      <c r="C156" s="4" t="s">
        <v>40</v>
      </c>
      <c r="D156" s="4">
        <v>1</v>
      </c>
      <c r="E156" s="4">
        <v>1</v>
      </c>
      <c r="F156" s="4">
        <v>0</v>
      </c>
      <c r="G156" s="4">
        <v>0</v>
      </c>
      <c r="H156" s="4">
        <v>1</v>
      </c>
      <c r="I156" s="4">
        <v>0</v>
      </c>
      <c r="J156" s="4">
        <f>Table1[[#This Row],[Goals]]*1000 + Table1[[#This Row],[Assists]]</f>
        <v>1001</v>
      </c>
    </row>
    <row r="157" spans="1:10" x14ac:dyDescent="0.25">
      <c r="A157" s="5">
        <v>46111</v>
      </c>
      <c r="B157" s="4" t="s">
        <v>45</v>
      </c>
      <c r="C157" s="4" t="s">
        <v>64</v>
      </c>
      <c r="D157" s="4">
        <v>1</v>
      </c>
      <c r="E157" s="4">
        <v>0</v>
      </c>
      <c r="F157" s="4">
        <v>0</v>
      </c>
      <c r="G157" s="4">
        <v>0</v>
      </c>
      <c r="H157" s="4">
        <v>1</v>
      </c>
      <c r="I157" s="4">
        <v>0</v>
      </c>
      <c r="J157" s="4">
        <f>Table1[[#This Row],[Goals]]*1000 + Table1[[#This Row],[Assists]]</f>
        <v>1000</v>
      </c>
    </row>
    <row r="158" spans="1:10" x14ac:dyDescent="0.25">
      <c r="A158" s="5">
        <v>46111</v>
      </c>
      <c r="B158" s="4" t="s">
        <v>45</v>
      </c>
      <c r="C158" s="4" t="s">
        <v>43</v>
      </c>
      <c r="D158" s="4">
        <v>2</v>
      </c>
      <c r="E158" s="4">
        <v>1</v>
      </c>
      <c r="F158" s="4">
        <v>0</v>
      </c>
      <c r="G158" s="4">
        <v>0</v>
      </c>
      <c r="H158" s="4">
        <v>1</v>
      </c>
      <c r="I158" s="4">
        <v>0</v>
      </c>
      <c r="J158" s="4">
        <f>Table1[[#This Row],[Goals]]*1000 + Table1[[#This Row],[Assists]]</f>
        <v>2001</v>
      </c>
    </row>
    <row r="159" spans="1:10" x14ac:dyDescent="0.25">
      <c r="A159" s="5">
        <v>46111</v>
      </c>
      <c r="B159" s="4" t="s">
        <v>45</v>
      </c>
      <c r="C159" s="4" t="s">
        <v>46</v>
      </c>
      <c r="D159" s="4">
        <v>0</v>
      </c>
      <c r="E159" s="4">
        <v>0</v>
      </c>
      <c r="F159" s="4">
        <v>0</v>
      </c>
      <c r="G159" s="4">
        <v>0</v>
      </c>
      <c r="H159" s="4">
        <v>1</v>
      </c>
      <c r="I159" s="4">
        <v>0</v>
      </c>
      <c r="J159" s="4">
        <f>Table1[[#This Row],[Goals]]*1000 + Table1[[#This Row],[Assists]]</f>
        <v>0</v>
      </c>
    </row>
    <row r="160" spans="1:10" x14ac:dyDescent="0.25">
      <c r="A160" s="5">
        <v>46125</v>
      </c>
      <c r="B160" s="4" t="s">
        <v>47</v>
      </c>
      <c r="C160" s="4" t="s">
        <v>61</v>
      </c>
      <c r="D160" s="4">
        <v>0</v>
      </c>
      <c r="E160" s="4">
        <v>0</v>
      </c>
      <c r="F160" s="4">
        <v>1</v>
      </c>
      <c r="G160" s="4">
        <v>0</v>
      </c>
      <c r="H160" s="4">
        <v>0</v>
      </c>
      <c r="I160" s="4">
        <v>0</v>
      </c>
      <c r="J160" s="4">
        <f>Table1[[#This Row],[Goals]]*1000 + Table1[[#This Row],[Assists]]</f>
        <v>0</v>
      </c>
    </row>
    <row r="161" spans="1:10" x14ac:dyDescent="0.25">
      <c r="A161" s="5">
        <v>46125</v>
      </c>
      <c r="B161" s="4" t="s">
        <v>47</v>
      </c>
      <c r="C161" s="4" t="s">
        <v>57</v>
      </c>
      <c r="D161" s="4">
        <v>3</v>
      </c>
      <c r="E161" s="4">
        <v>1</v>
      </c>
      <c r="F161" s="4">
        <v>1</v>
      </c>
      <c r="G161" s="4">
        <v>0</v>
      </c>
      <c r="H161" s="4">
        <v>0</v>
      </c>
      <c r="I161" s="4">
        <v>0</v>
      </c>
      <c r="J161" s="4">
        <f>Table1[[#This Row],[Goals]]*1000 + Table1[[#This Row],[Assists]]</f>
        <v>3001</v>
      </c>
    </row>
    <row r="162" spans="1:10" x14ac:dyDescent="0.25">
      <c r="A162" s="5">
        <v>46125</v>
      </c>
      <c r="B162" s="4" t="s">
        <v>47</v>
      </c>
      <c r="C162" s="4" t="s">
        <v>40</v>
      </c>
      <c r="D162" s="4">
        <v>1</v>
      </c>
      <c r="E162" s="4">
        <v>1</v>
      </c>
      <c r="F162" s="4">
        <v>1</v>
      </c>
      <c r="G162" s="4">
        <v>0</v>
      </c>
      <c r="H162" s="4">
        <v>0</v>
      </c>
      <c r="I162" s="4">
        <v>0</v>
      </c>
      <c r="J162" s="4">
        <f>Table1[[#This Row],[Goals]]*1000 + Table1[[#This Row],[Assists]]</f>
        <v>1001</v>
      </c>
    </row>
    <row r="163" spans="1:10" x14ac:dyDescent="0.25">
      <c r="A163" s="5">
        <v>46125</v>
      </c>
      <c r="B163" s="4" t="s">
        <v>47</v>
      </c>
      <c r="C163" s="4" t="s">
        <v>55</v>
      </c>
      <c r="D163" s="4">
        <v>1</v>
      </c>
      <c r="E163" s="4">
        <v>1</v>
      </c>
      <c r="F163" s="4">
        <v>1</v>
      </c>
      <c r="G163" s="4">
        <v>0</v>
      </c>
      <c r="H163" s="4">
        <v>0</v>
      </c>
      <c r="I163" s="4">
        <v>0</v>
      </c>
      <c r="J163" s="4">
        <f>Table1[[#This Row],[Goals]]*1000 + Table1[[#This Row],[Assists]]</f>
        <v>1001</v>
      </c>
    </row>
    <row r="164" spans="1:10" x14ac:dyDescent="0.25">
      <c r="A164" s="5">
        <v>46125</v>
      </c>
      <c r="B164" s="4" t="s">
        <v>47</v>
      </c>
      <c r="C164" s="4" t="s">
        <v>41</v>
      </c>
      <c r="D164" s="4">
        <v>0</v>
      </c>
      <c r="E164" s="4">
        <v>2</v>
      </c>
      <c r="F164" s="4">
        <v>1</v>
      </c>
      <c r="G164" s="4">
        <v>0</v>
      </c>
      <c r="H164" s="4">
        <v>0</v>
      </c>
      <c r="I164" s="4">
        <v>0</v>
      </c>
      <c r="J164" s="4">
        <f>Table1[[#This Row],[Goals]]*1000 + Table1[[#This Row],[Assists]]</f>
        <v>2</v>
      </c>
    </row>
    <row r="165" spans="1:10" x14ac:dyDescent="0.25">
      <c r="A165" s="5">
        <v>46125</v>
      </c>
      <c r="B165" s="4" t="s">
        <v>47</v>
      </c>
      <c r="C165" s="4" t="s">
        <v>53</v>
      </c>
      <c r="D165" s="4">
        <v>1</v>
      </c>
      <c r="E165" s="4">
        <v>0</v>
      </c>
      <c r="F165" s="4">
        <v>1</v>
      </c>
      <c r="G165" s="4">
        <v>0</v>
      </c>
      <c r="H165" s="4">
        <v>0</v>
      </c>
      <c r="I165" s="4">
        <v>0</v>
      </c>
      <c r="J165" s="4">
        <f>Table1[[#This Row],[Goals]]*1000 + Table1[[#This Row],[Assists]]</f>
        <v>1000</v>
      </c>
    </row>
    <row r="166" spans="1:10" x14ac:dyDescent="0.25">
      <c r="A166" s="5">
        <v>46125</v>
      </c>
      <c r="B166" s="4" t="s">
        <v>47</v>
      </c>
      <c r="C166" s="4" t="s">
        <v>42</v>
      </c>
      <c r="D166" s="4">
        <v>1</v>
      </c>
      <c r="E166" s="4">
        <v>1</v>
      </c>
      <c r="F166" s="4">
        <v>1</v>
      </c>
      <c r="G166" s="4">
        <v>0</v>
      </c>
      <c r="H166" s="4">
        <v>0</v>
      </c>
      <c r="I166" s="4">
        <v>0</v>
      </c>
      <c r="J166" s="4">
        <f>Table1[[#This Row],[Goals]]*1000 + Table1[[#This Row],[Assists]]</f>
        <v>1001</v>
      </c>
    </row>
    <row r="167" spans="1:10" x14ac:dyDescent="0.25">
      <c r="A167" s="5">
        <v>46125</v>
      </c>
      <c r="B167" s="4" t="s">
        <v>47</v>
      </c>
      <c r="C167" s="4" t="s">
        <v>54</v>
      </c>
      <c r="D167" s="4">
        <v>1</v>
      </c>
      <c r="E167" s="4">
        <v>0</v>
      </c>
      <c r="F167" s="4">
        <v>0</v>
      </c>
      <c r="G167" s="4">
        <v>1</v>
      </c>
      <c r="H167" s="4">
        <v>0</v>
      </c>
      <c r="I167" s="4">
        <v>0</v>
      </c>
      <c r="J167" s="4">
        <f>Table1[[#This Row],[Goals]]*1000 + Table1[[#This Row],[Assists]]</f>
        <v>1000</v>
      </c>
    </row>
    <row r="168" spans="1:10" x14ac:dyDescent="0.25">
      <c r="A168" s="5">
        <v>46125</v>
      </c>
      <c r="B168" s="4" t="s">
        <v>47</v>
      </c>
      <c r="C168" s="4" t="s">
        <v>43</v>
      </c>
      <c r="D168" s="4">
        <v>0</v>
      </c>
      <c r="E168" s="4">
        <v>0</v>
      </c>
      <c r="F168" s="4">
        <v>0</v>
      </c>
      <c r="G168" s="4">
        <v>1</v>
      </c>
      <c r="H168" s="4">
        <v>0</v>
      </c>
      <c r="I168" s="4">
        <v>0</v>
      </c>
      <c r="J168" s="4">
        <f>Table1[[#This Row],[Goals]]*1000 + Table1[[#This Row],[Assists]]</f>
        <v>0</v>
      </c>
    </row>
    <row r="169" spans="1:10" x14ac:dyDescent="0.25">
      <c r="A169" s="5">
        <v>46125</v>
      </c>
      <c r="B169" s="4" t="s">
        <v>47</v>
      </c>
      <c r="C169" s="4" t="s">
        <v>46</v>
      </c>
      <c r="D169" s="4">
        <v>0</v>
      </c>
      <c r="E169" s="4">
        <v>0</v>
      </c>
      <c r="F169" s="4">
        <v>0</v>
      </c>
      <c r="G169" s="4">
        <v>1</v>
      </c>
      <c r="H169" s="4">
        <v>0</v>
      </c>
      <c r="I169" s="4">
        <v>0</v>
      </c>
      <c r="J169" s="4">
        <f>Table1[[#This Row],[Goals]]*1000 + Table1[[#This Row],[Assists]]</f>
        <v>0</v>
      </c>
    </row>
    <row r="170" spans="1:10" x14ac:dyDescent="0.25">
      <c r="A170" s="5">
        <v>46125</v>
      </c>
      <c r="B170" s="4" t="s">
        <v>47</v>
      </c>
      <c r="C170" s="4" t="s">
        <v>33</v>
      </c>
      <c r="D170" s="4">
        <v>1</v>
      </c>
      <c r="E170" s="4">
        <v>1</v>
      </c>
      <c r="F170" s="4">
        <v>0</v>
      </c>
      <c r="G170" s="4">
        <v>1</v>
      </c>
      <c r="H170" s="4">
        <v>0</v>
      </c>
      <c r="I170" s="4">
        <v>0</v>
      </c>
      <c r="J170" s="4">
        <f>Table1[[#This Row],[Goals]]*1000 + Table1[[#This Row],[Assists]]</f>
        <v>1001</v>
      </c>
    </row>
    <row r="171" spans="1:10" x14ac:dyDescent="0.25">
      <c r="A171" s="5">
        <v>46125</v>
      </c>
      <c r="B171" s="4" t="s">
        <v>47</v>
      </c>
      <c r="C171" s="4" t="s">
        <v>4</v>
      </c>
      <c r="D171" s="4">
        <v>1</v>
      </c>
      <c r="E171" s="4">
        <v>3</v>
      </c>
      <c r="F171" s="4">
        <v>0</v>
      </c>
      <c r="G171" s="4">
        <v>1</v>
      </c>
      <c r="H171" s="4">
        <v>0</v>
      </c>
      <c r="I171" s="4">
        <v>0</v>
      </c>
      <c r="J171" s="4">
        <f>Table1[[#This Row],[Goals]]*1000 + Table1[[#This Row],[Assists]]</f>
        <v>1003</v>
      </c>
    </row>
    <row r="172" spans="1:10" x14ac:dyDescent="0.25">
      <c r="A172" s="5">
        <v>46125</v>
      </c>
      <c r="B172" s="4" t="s">
        <v>47</v>
      </c>
      <c r="C172" s="4" t="s">
        <v>64</v>
      </c>
      <c r="D172" s="4">
        <v>3</v>
      </c>
      <c r="E172" s="4">
        <v>3</v>
      </c>
      <c r="F172" s="4">
        <v>0</v>
      </c>
      <c r="G172" s="4">
        <v>1</v>
      </c>
      <c r="H172" s="4">
        <v>0</v>
      </c>
      <c r="I172" s="4">
        <v>0</v>
      </c>
      <c r="J172" s="4">
        <f>Table1[[#This Row],[Goals]]*1000 + Table1[[#This Row],[Assists]]</f>
        <v>3003</v>
      </c>
    </row>
    <row r="173" spans="1:10" x14ac:dyDescent="0.25">
      <c r="A173" s="5">
        <v>46125</v>
      </c>
      <c r="B173" s="4" t="s">
        <v>47</v>
      </c>
      <c r="C173" s="4" t="s">
        <v>11</v>
      </c>
      <c r="D173" s="4">
        <v>3</v>
      </c>
      <c r="E173" s="4">
        <v>2</v>
      </c>
      <c r="F173" s="4">
        <v>0</v>
      </c>
      <c r="G173" s="4">
        <v>1</v>
      </c>
      <c r="H173" s="4">
        <v>0</v>
      </c>
      <c r="I173" s="4">
        <v>0</v>
      </c>
      <c r="J173" s="4">
        <f>Table1[[#This Row],[Goals]]*1000 + Table1[[#This Row],[Assists]]</f>
        <v>3002</v>
      </c>
    </row>
    <row r="174" spans="1:10" x14ac:dyDescent="0.25">
      <c r="A174" s="5">
        <v>46132</v>
      </c>
      <c r="B174" s="4" t="s">
        <v>48</v>
      </c>
      <c r="C174" s="4" t="s">
        <v>54</v>
      </c>
      <c r="D174" s="4">
        <v>0</v>
      </c>
      <c r="E174" s="4">
        <v>0</v>
      </c>
      <c r="F174" s="4">
        <v>0</v>
      </c>
      <c r="G174" s="4">
        <v>1</v>
      </c>
      <c r="H174" s="4">
        <v>0</v>
      </c>
      <c r="I174" s="4">
        <v>0</v>
      </c>
      <c r="J174" s="4">
        <f>Table1[[#This Row],[Goals]]*1000 + Table1[[#This Row],[Assists]]</f>
        <v>0</v>
      </c>
    </row>
    <row r="175" spans="1:10" x14ac:dyDescent="0.25">
      <c r="A175" s="5">
        <v>46132</v>
      </c>
      <c r="B175" s="4" t="s">
        <v>48</v>
      </c>
      <c r="C175" s="4" t="s">
        <v>63</v>
      </c>
      <c r="D175" s="4">
        <v>2</v>
      </c>
      <c r="E175" s="4">
        <v>2</v>
      </c>
      <c r="F175" s="4">
        <v>0</v>
      </c>
      <c r="G175" s="4">
        <v>1</v>
      </c>
      <c r="H175" s="4">
        <v>0</v>
      </c>
      <c r="I175" s="4">
        <v>0</v>
      </c>
      <c r="J175" s="4">
        <f>Table1[[#This Row],[Goals]]*1000 + Table1[[#This Row],[Assists]]</f>
        <v>2002</v>
      </c>
    </row>
    <row r="176" spans="1:10" x14ac:dyDescent="0.25">
      <c r="A176" s="5">
        <v>46132</v>
      </c>
      <c r="B176" s="4" t="s">
        <v>48</v>
      </c>
      <c r="C176" s="4" t="s">
        <v>64</v>
      </c>
      <c r="D176" s="4">
        <v>1</v>
      </c>
      <c r="E176" s="4">
        <v>0</v>
      </c>
      <c r="F176" s="4">
        <v>0</v>
      </c>
      <c r="G176" s="4">
        <v>1</v>
      </c>
      <c r="H176" s="4">
        <v>0</v>
      </c>
      <c r="I176" s="4">
        <v>0</v>
      </c>
      <c r="J176" s="4">
        <f>Table1[[#This Row],[Goals]]*1000 + Table1[[#This Row],[Assists]]</f>
        <v>1000</v>
      </c>
    </row>
    <row r="177" spans="1:10" x14ac:dyDescent="0.25">
      <c r="A177" s="5">
        <v>46132</v>
      </c>
      <c r="B177" s="4" t="s">
        <v>48</v>
      </c>
      <c r="C177" s="4" t="s">
        <v>57</v>
      </c>
      <c r="D177" s="4">
        <v>0</v>
      </c>
      <c r="E177" s="4">
        <v>2</v>
      </c>
      <c r="F177" s="4">
        <v>0</v>
      </c>
      <c r="G177" s="4">
        <v>1</v>
      </c>
      <c r="H177" s="4">
        <v>0</v>
      </c>
      <c r="I177" s="4">
        <v>0</v>
      </c>
      <c r="J177" s="4">
        <f>Table1[[#This Row],[Goals]]*1000 + Table1[[#This Row],[Assists]]</f>
        <v>2</v>
      </c>
    </row>
    <row r="178" spans="1:10" x14ac:dyDescent="0.25">
      <c r="A178" s="5">
        <v>46132</v>
      </c>
      <c r="B178" s="4" t="s">
        <v>48</v>
      </c>
      <c r="C178" s="4" t="s">
        <v>4</v>
      </c>
      <c r="D178" s="4">
        <v>0</v>
      </c>
      <c r="E178" s="4">
        <v>0</v>
      </c>
      <c r="F178" s="4">
        <v>0</v>
      </c>
      <c r="G178" s="4">
        <v>1</v>
      </c>
      <c r="H178" s="4">
        <v>0</v>
      </c>
      <c r="I178" s="4">
        <v>0</v>
      </c>
      <c r="J178" s="4">
        <f>Table1[[#This Row],[Goals]]*1000 + Table1[[#This Row],[Assists]]</f>
        <v>0</v>
      </c>
    </row>
    <row r="179" spans="1:10" x14ac:dyDescent="0.25">
      <c r="A179" s="5">
        <v>46132</v>
      </c>
      <c r="B179" s="4" t="s">
        <v>48</v>
      </c>
      <c r="C179" s="4" t="s">
        <v>65</v>
      </c>
      <c r="D179" s="4">
        <v>1</v>
      </c>
      <c r="E179" s="4">
        <v>1</v>
      </c>
      <c r="F179" s="4">
        <v>0</v>
      </c>
      <c r="G179" s="4">
        <v>1</v>
      </c>
      <c r="H179" s="4">
        <v>0</v>
      </c>
      <c r="I179" s="4">
        <v>0</v>
      </c>
      <c r="J179" s="4">
        <f>Table1[[#This Row],[Goals]]*1000 + Table1[[#This Row],[Assists]]</f>
        <v>1001</v>
      </c>
    </row>
    <row r="180" spans="1:10" x14ac:dyDescent="0.25">
      <c r="A180" s="5">
        <v>46132</v>
      </c>
      <c r="B180" s="4" t="s">
        <v>48</v>
      </c>
      <c r="C180" s="4" t="s">
        <v>42</v>
      </c>
      <c r="D180" s="4">
        <v>2</v>
      </c>
      <c r="E180" s="4">
        <v>1</v>
      </c>
      <c r="F180" s="4">
        <v>0</v>
      </c>
      <c r="G180" s="4">
        <v>1</v>
      </c>
      <c r="H180" s="4">
        <v>0</v>
      </c>
      <c r="I180" s="4">
        <v>0</v>
      </c>
      <c r="J180" s="4">
        <f>Table1[[#This Row],[Goals]]*1000 + Table1[[#This Row],[Assists]]</f>
        <v>2001</v>
      </c>
    </row>
    <row r="181" spans="1:10" x14ac:dyDescent="0.25">
      <c r="A181" s="5">
        <v>46132</v>
      </c>
      <c r="B181" s="4" t="s">
        <v>48</v>
      </c>
      <c r="C181" s="4" t="s">
        <v>61</v>
      </c>
      <c r="D181" s="4">
        <v>1</v>
      </c>
      <c r="E181" s="4">
        <v>1</v>
      </c>
      <c r="F181" s="4">
        <v>1</v>
      </c>
      <c r="G181" s="4">
        <v>0</v>
      </c>
      <c r="H181" s="4">
        <v>0</v>
      </c>
      <c r="I181" s="4">
        <v>0</v>
      </c>
      <c r="J181" s="4">
        <f>Table1[[#This Row],[Goals]]*1000 + Table1[[#This Row],[Assists]]</f>
        <v>1001</v>
      </c>
    </row>
    <row r="182" spans="1:10" x14ac:dyDescent="0.25">
      <c r="A182" s="5">
        <v>46132</v>
      </c>
      <c r="B182" s="4" t="s">
        <v>48</v>
      </c>
      <c r="C182" s="4" t="s">
        <v>46</v>
      </c>
      <c r="D182" s="4">
        <v>1</v>
      </c>
      <c r="E182" s="4">
        <v>0</v>
      </c>
      <c r="F182" s="4">
        <v>1</v>
      </c>
      <c r="G182" s="4">
        <v>0</v>
      </c>
      <c r="H182" s="4">
        <v>0</v>
      </c>
      <c r="I182" s="4">
        <v>0</v>
      </c>
      <c r="J182" s="4">
        <f>Table1[[#This Row],[Goals]]*1000 + Table1[[#This Row],[Assists]]</f>
        <v>1000</v>
      </c>
    </row>
    <row r="183" spans="1:10" x14ac:dyDescent="0.25">
      <c r="A183" s="5">
        <v>46132</v>
      </c>
      <c r="B183" s="4" t="s">
        <v>48</v>
      </c>
      <c r="C183" s="4" t="s">
        <v>43</v>
      </c>
      <c r="D183" s="4">
        <v>1</v>
      </c>
      <c r="E183" s="4">
        <v>0</v>
      </c>
      <c r="F183" s="4">
        <v>1</v>
      </c>
      <c r="G183" s="4">
        <v>0</v>
      </c>
      <c r="H183" s="4">
        <v>0</v>
      </c>
      <c r="I183" s="4">
        <v>0</v>
      </c>
      <c r="J183" s="4">
        <f>Table1[[#This Row],[Goals]]*1000 + Table1[[#This Row],[Assists]]</f>
        <v>1000</v>
      </c>
    </row>
    <row r="184" spans="1:10" x14ac:dyDescent="0.25">
      <c r="A184" s="5">
        <v>46132</v>
      </c>
      <c r="B184" s="4" t="s">
        <v>48</v>
      </c>
      <c r="C184" s="4" t="s">
        <v>49</v>
      </c>
      <c r="D184" s="4">
        <v>0</v>
      </c>
      <c r="E184" s="4">
        <v>0</v>
      </c>
      <c r="F184" s="4">
        <v>1</v>
      </c>
      <c r="G184" s="4">
        <v>0</v>
      </c>
      <c r="H184" s="4">
        <v>0</v>
      </c>
      <c r="I184" s="4">
        <v>0</v>
      </c>
      <c r="J184" s="4">
        <f>Table1[[#This Row],[Goals]]*1000 + Table1[[#This Row],[Assists]]</f>
        <v>0</v>
      </c>
    </row>
    <row r="185" spans="1:10" x14ac:dyDescent="0.25">
      <c r="A185" s="5">
        <v>46132</v>
      </c>
      <c r="B185" s="4" t="s">
        <v>48</v>
      </c>
      <c r="C185" s="4" t="s">
        <v>33</v>
      </c>
      <c r="D185" s="4">
        <v>3</v>
      </c>
      <c r="E185" s="4">
        <v>0</v>
      </c>
      <c r="F185" s="4">
        <v>1</v>
      </c>
      <c r="G185" s="4">
        <v>0</v>
      </c>
      <c r="H185" s="4">
        <v>0</v>
      </c>
      <c r="I185" s="4">
        <v>0</v>
      </c>
      <c r="J185" s="4">
        <f>Table1[[#This Row],[Goals]]*1000 + Table1[[#This Row],[Assists]]</f>
        <v>3000</v>
      </c>
    </row>
    <row r="186" spans="1:10" x14ac:dyDescent="0.25">
      <c r="A186" s="5">
        <v>46132</v>
      </c>
      <c r="B186" s="4" t="s">
        <v>48</v>
      </c>
      <c r="C186" s="4" t="s">
        <v>41</v>
      </c>
      <c r="D186" s="4">
        <v>4</v>
      </c>
      <c r="E186" s="4">
        <v>4</v>
      </c>
      <c r="F186" s="4">
        <v>1</v>
      </c>
      <c r="G186" s="4">
        <v>0</v>
      </c>
      <c r="H186" s="4">
        <v>0</v>
      </c>
      <c r="I186" s="4">
        <v>0</v>
      </c>
      <c r="J186" s="4">
        <f>Table1[[#This Row],[Goals]]*1000 + Table1[[#This Row],[Assists]]</f>
        <v>4004</v>
      </c>
    </row>
    <row r="187" spans="1:10" x14ac:dyDescent="0.25">
      <c r="A187" s="5">
        <v>46132</v>
      </c>
      <c r="B187" s="4" t="s">
        <v>48</v>
      </c>
      <c r="C187" s="4" t="s">
        <v>40</v>
      </c>
      <c r="D187" s="4">
        <v>2</v>
      </c>
      <c r="E187" s="4">
        <v>3</v>
      </c>
      <c r="F187" s="4">
        <v>1</v>
      </c>
      <c r="G187" s="4">
        <v>0</v>
      </c>
      <c r="H187" s="4">
        <v>0</v>
      </c>
      <c r="I187" s="4">
        <v>0</v>
      </c>
      <c r="J187" s="4">
        <f>Table1[[#This Row],[Goals]]*1000 + Table1[[#This Row],[Assists]]</f>
        <v>2003</v>
      </c>
    </row>
    <row r="188" spans="1:10" x14ac:dyDescent="0.25">
      <c r="A188" s="5">
        <v>46139</v>
      </c>
      <c r="B188" s="4" t="s">
        <v>45</v>
      </c>
      <c r="C188" s="4" t="s">
        <v>4</v>
      </c>
      <c r="D188" s="4">
        <v>0</v>
      </c>
      <c r="E188" s="4">
        <v>0</v>
      </c>
      <c r="F188" s="4">
        <v>0</v>
      </c>
      <c r="G188" s="4">
        <v>0</v>
      </c>
      <c r="H188" s="4">
        <v>1</v>
      </c>
      <c r="I188" s="4">
        <v>0</v>
      </c>
      <c r="J188" s="4">
        <f>Table1[[#This Row],[Goals]]*1000 + Table1[[#This Row],[Assists]]</f>
        <v>0</v>
      </c>
    </row>
    <row r="189" spans="1:10" x14ac:dyDescent="0.25">
      <c r="A189" s="5">
        <v>46139</v>
      </c>
      <c r="B189" s="4" t="s">
        <v>45</v>
      </c>
      <c r="C189" s="4" t="s">
        <v>33</v>
      </c>
      <c r="D189" s="4">
        <v>1</v>
      </c>
      <c r="E189" s="4">
        <v>1</v>
      </c>
      <c r="F189" s="4">
        <v>0</v>
      </c>
      <c r="G189" s="4">
        <v>0</v>
      </c>
      <c r="H189" s="4">
        <v>1</v>
      </c>
      <c r="I189" s="4">
        <v>0</v>
      </c>
      <c r="J189" s="4">
        <f>Table1[[#This Row],[Goals]]*1000 + Table1[[#This Row],[Assists]]</f>
        <v>1001</v>
      </c>
    </row>
    <row r="190" spans="1:10" x14ac:dyDescent="0.25">
      <c r="A190" s="5">
        <v>46139</v>
      </c>
      <c r="B190" s="4" t="s">
        <v>45</v>
      </c>
      <c r="C190" s="4" t="s">
        <v>12</v>
      </c>
      <c r="D190" s="4">
        <v>0</v>
      </c>
      <c r="E190" s="4">
        <v>0</v>
      </c>
      <c r="F190" s="4">
        <v>0</v>
      </c>
      <c r="G190" s="4">
        <v>0</v>
      </c>
      <c r="H190" s="4">
        <v>1</v>
      </c>
      <c r="I190" s="4">
        <v>0</v>
      </c>
      <c r="J190" s="4">
        <f>Table1[[#This Row],[Goals]]*1000 + Table1[[#This Row],[Assists]]</f>
        <v>0</v>
      </c>
    </row>
    <row r="191" spans="1:10" x14ac:dyDescent="0.25">
      <c r="A191" s="5">
        <v>46139</v>
      </c>
      <c r="B191" s="4" t="s">
        <v>45</v>
      </c>
      <c r="C191" s="4" t="s">
        <v>61</v>
      </c>
      <c r="D191" s="4">
        <v>2</v>
      </c>
      <c r="E191" s="4">
        <v>0</v>
      </c>
      <c r="F191" s="4">
        <v>0</v>
      </c>
      <c r="G191" s="4">
        <v>0</v>
      </c>
      <c r="H191" s="4">
        <v>1</v>
      </c>
      <c r="I191" s="4">
        <v>0</v>
      </c>
      <c r="J191" s="4">
        <f>Table1[[#This Row],[Goals]]*1000 + Table1[[#This Row],[Assists]]</f>
        <v>2000</v>
      </c>
    </row>
    <row r="192" spans="1:10" x14ac:dyDescent="0.25">
      <c r="A192" s="5">
        <v>46139</v>
      </c>
      <c r="B192" s="4" t="s">
        <v>45</v>
      </c>
      <c r="C192" s="4" t="s">
        <v>55</v>
      </c>
      <c r="D192" s="4">
        <v>1</v>
      </c>
      <c r="E192" s="4">
        <v>0</v>
      </c>
      <c r="F192" s="4">
        <v>0</v>
      </c>
      <c r="G192" s="4">
        <v>0</v>
      </c>
      <c r="H192" s="4">
        <v>1</v>
      </c>
      <c r="I192" s="4">
        <v>0</v>
      </c>
      <c r="J192" s="4">
        <f>Table1[[#This Row],[Goals]]*1000 + Table1[[#This Row],[Assists]]</f>
        <v>1000</v>
      </c>
    </row>
    <row r="193" spans="1:10" x14ac:dyDescent="0.25">
      <c r="A193" s="5">
        <v>46139</v>
      </c>
      <c r="B193" s="4" t="s">
        <v>45</v>
      </c>
      <c r="C193" s="4" t="s">
        <v>40</v>
      </c>
      <c r="D193" s="4">
        <v>1</v>
      </c>
      <c r="E193" s="4">
        <v>3</v>
      </c>
      <c r="F193" s="4">
        <v>0</v>
      </c>
      <c r="G193" s="4">
        <v>0</v>
      </c>
      <c r="H193" s="4">
        <v>1</v>
      </c>
      <c r="I193" s="4">
        <v>0</v>
      </c>
      <c r="J193" s="4">
        <f>Table1[[#This Row],[Goals]]*1000 + Table1[[#This Row],[Assists]]</f>
        <v>1003</v>
      </c>
    </row>
    <row r="194" spans="1:10" x14ac:dyDescent="0.25">
      <c r="A194" s="5">
        <v>46139</v>
      </c>
      <c r="B194" s="4" t="s">
        <v>45</v>
      </c>
      <c r="C194" s="4" t="s">
        <v>42</v>
      </c>
      <c r="D194" s="4">
        <v>1</v>
      </c>
      <c r="E194" s="4">
        <v>1</v>
      </c>
      <c r="F194" s="4">
        <v>0</v>
      </c>
      <c r="G194" s="4">
        <v>0</v>
      </c>
      <c r="H194" s="4">
        <v>1</v>
      </c>
      <c r="I194" s="4">
        <v>0</v>
      </c>
      <c r="J194" s="4">
        <f>Table1[[#This Row],[Goals]]*1000 + Table1[[#This Row],[Assists]]</f>
        <v>1001</v>
      </c>
    </row>
    <row r="195" spans="1:10" x14ac:dyDescent="0.25">
      <c r="A195" s="5">
        <v>46139</v>
      </c>
      <c r="B195" s="4" t="s">
        <v>45</v>
      </c>
      <c r="C195" s="4" t="s">
        <v>57</v>
      </c>
      <c r="D195" s="4">
        <v>0</v>
      </c>
      <c r="E195" s="4">
        <v>2</v>
      </c>
      <c r="F195" s="4">
        <v>0</v>
      </c>
      <c r="G195" s="4">
        <v>0</v>
      </c>
      <c r="H195" s="4">
        <v>1</v>
      </c>
      <c r="I195" s="4">
        <v>0</v>
      </c>
      <c r="J195" s="4">
        <f>Table1[[#This Row],[Goals]]*1000 + Table1[[#This Row],[Assists]]</f>
        <v>2</v>
      </c>
    </row>
    <row r="196" spans="1:10" x14ac:dyDescent="0.25">
      <c r="A196" s="5">
        <v>46139</v>
      </c>
      <c r="B196" s="4" t="s">
        <v>45</v>
      </c>
      <c r="C196" s="4" t="s">
        <v>53</v>
      </c>
      <c r="D196" s="4">
        <v>0</v>
      </c>
      <c r="E196" s="4">
        <v>0</v>
      </c>
      <c r="F196" s="4">
        <v>0</v>
      </c>
      <c r="G196" s="4">
        <v>0</v>
      </c>
      <c r="H196" s="4">
        <v>1</v>
      </c>
      <c r="I196" s="4">
        <v>0</v>
      </c>
      <c r="J196" s="4">
        <f>Table1[[#This Row],[Goals]]*1000 + Table1[[#This Row],[Assists]]</f>
        <v>0</v>
      </c>
    </row>
    <row r="197" spans="1:10" x14ac:dyDescent="0.25">
      <c r="A197" s="5">
        <v>46139</v>
      </c>
      <c r="B197" s="4" t="s">
        <v>45</v>
      </c>
      <c r="C197" s="4" t="s">
        <v>41</v>
      </c>
      <c r="D197" s="4">
        <v>1</v>
      </c>
      <c r="E197" s="4">
        <v>1</v>
      </c>
      <c r="F197" s="4">
        <v>0</v>
      </c>
      <c r="G197" s="4">
        <v>0</v>
      </c>
      <c r="H197" s="4">
        <v>1</v>
      </c>
      <c r="I197" s="4">
        <v>0</v>
      </c>
      <c r="J197" s="4">
        <f>Table1[[#This Row],[Goals]]*1000 + Table1[[#This Row],[Assists]]</f>
        <v>1001</v>
      </c>
    </row>
    <row r="198" spans="1:10" x14ac:dyDescent="0.25">
      <c r="A198" s="5">
        <v>46139</v>
      </c>
      <c r="B198" s="4" t="s">
        <v>45</v>
      </c>
      <c r="C198" s="4" t="s">
        <v>54</v>
      </c>
      <c r="D198" s="4">
        <v>0</v>
      </c>
      <c r="E198" s="4">
        <v>0</v>
      </c>
      <c r="F198" s="4">
        <v>0</v>
      </c>
      <c r="G198" s="4">
        <v>0</v>
      </c>
      <c r="H198" s="4">
        <v>1</v>
      </c>
      <c r="I198" s="4">
        <v>0</v>
      </c>
      <c r="J198" s="4">
        <f>Table1[[#This Row],[Goals]]*1000 + Table1[[#This Row],[Assists]]</f>
        <v>0</v>
      </c>
    </row>
    <row r="199" spans="1:10" x14ac:dyDescent="0.25">
      <c r="A199" s="5">
        <v>46139</v>
      </c>
      <c r="B199" s="4" t="s">
        <v>45</v>
      </c>
      <c r="C199" s="4" t="s">
        <v>43</v>
      </c>
      <c r="D199" s="4">
        <v>2</v>
      </c>
      <c r="E199" s="4">
        <v>0</v>
      </c>
      <c r="F199" s="4">
        <v>0</v>
      </c>
      <c r="G199" s="4">
        <v>0</v>
      </c>
      <c r="H199" s="4">
        <v>1</v>
      </c>
      <c r="I199" s="4">
        <v>0</v>
      </c>
      <c r="J199" s="4">
        <f>Table1[[#This Row],[Goals]]*1000 + Table1[[#This Row],[Assists]]</f>
        <v>2000</v>
      </c>
    </row>
    <row r="200" spans="1:10" x14ac:dyDescent="0.25">
      <c r="A200" s="5">
        <v>46139</v>
      </c>
      <c r="B200" s="4" t="s">
        <v>45</v>
      </c>
      <c r="C200" s="4" t="s">
        <v>11</v>
      </c>
      <c r="D200" s="4">
        <v>4</v>
      </c>
      <c r="E200" s="4">
        <v>0</v>
      </c>
      <c r="F200" s="4">
        <v>0</v>
      </c>
      <c r="G200" s="4">
        <v>0</v>
      </c>
      <c r="H200" s="4">
        <v>1</v>
      </c>
      <c r="I200" s="4">
        <v>0</v>
      </c>
      <c r="J200" s="4">
        <f>Table1[[#This Row],[Goals]]*1000 + Table1[[#This Row],[Assists]]</f>
        <v>4000</v>
      </c>
    </row>
    <row r="201" spans="1:10" x14ac:dyDescent="0.25">
      <c r="A201" s="5">
        <v>46139</v>
      </c>
      <c r="B201" s="4" t="s">
        <v>45</v>
      </c>
      <c r="C201" s="4" t="s">
        <v>46</v>
      </c>
      <c r="D201" s="4">
        <v>0</v>
      </c>
      <c r="E201" s="4">
        <v>2</v>
      </c>
      <c r="F201" s="4">
        <v>0</v>
      </c>
      <c r="G201" s="4">
        <v>0</v>
      </c>
      <c r="H201" s="4">
        <v>1</v>
      </c>
      <c r="I201" s="4">
        <v>0</v>
      </c>
      <c r="J201" s="4">
        <f>Table1[[#This Row],[Goals]]*1000 + Table1[[#This Row],[Assists]]</f>
        <v>2</v>
      </c>
    </row>
    <row r="202" spans="1:10" x14ac:dyDescent="0.25">
      <c r="A202" s="5">
        <v>46146</v>
      </c>
      <c r="B202" s="4" t="s">
        <v>50</v>
      </c>
      <c r="C202" s="4" t="s">
        <v>56</v>
      </c>
      <c r="D202" s="4">
        <v>1</v>
      </c>
      <c r="E202" s="4">
        <v>0</v>
      </c>
      <c r="F202" s="4">
        <v>0</v>
      </c>
      <c r="G202" s="4">
        <v>1</v>
      </c>
      <c r="H202" s="4">
        <v>0</v>
      </c>
      <c r="I202" s="4">
        <v>0</v>
      </c>
      <c r="J202" s="4">
        <f>Table1[[#This Row],[Goals]]*1000 + Table1[[#This Row],[Assists]]</f>
        <v>1000</v>
      </c>
    </row>
    <row r="203" spans="1:10" x14ac:dyDescent="0.25">
      <c r="A203" s="5">
        <v>46146</v>
      </c>
      <c r="B203" s="4" t="s">
        <v>50</v>
      </c>
      <c r="C203" s="4" t="s">
        <v>63</v>
      </c>
      <c r="D203" s="4">
        <v>2</v>
      </c>
      <c r="E203" s="4">
        <v>1</v>
      </c>
      <c r="F203" s="4">
        <v>0</v>
      </c>
      <c r="G203" s="4">
        <v>1</v>
      </c>
      <c r="H203" s="4">
        <v>0</v>
      </c>
      <c r="I203" s="4">
        <v>0</v>
      </c>
      <c r="J203" s="4">
        <f>Table1[[#This Row],[Goals]]*1000 + Table1[[#This Row],[Assists]]</f>
        <v>2001</v>
      </c>
    </row>
    <row r="204" spans="1:10" x14ac:dyDescent="0.25">
      <c r="A204" s="5">
        <v>46146</v>
      </c>
      <c r="B204" s="4" t="s">
        <v>50</v>
      </c>
      <c r="C204" s="4" t="s">
        <v>43</v>
      </c>
      <c r="D204" s="4">
        <v>0</v>
      </c>
      <c r="E204" s="4">
        <v>0</v>
      </c>
      <c r="F204" s="4">
        <v>0</v>
      </c>
      <c r="G204" s="4">
        <v>1</v>
      </c>
      <c r="H204" s="4">
        <v>0</v>
      </c>
      <c r="I204" s="4">
        <v>0</v>
      </c>
      <c r="J204" s="4">
        <f>Table1[[#This Row],[Goals]]*1000 + Table1[[#This Row],[Assists]]</f>
        <v>0</v>
      </c>
    </row>
    <row r="205" spans="1:10" x14ac:dyDescent="0.25">
      <c r="A205" s="5">
        <v>46146</v>
      </c>
      <c r="B205" s="4" t="s">
        <v>50</v>
      </c>
      <c r="C205" s="4" t="s">
        <v>57</v>
      </c>
      <c r="D205" s="4">
        <v>0</v>
      </c>
      <c r="E205" s="4">
        <v>1</v>
      </c>
      <c r="F205" s="4">
        <v>0</v>
      </c>
      <c r="G205" s="4">
        <v>1</v>
      </c>
      <c r="H205" s="4">
        <v>0</v>
      </c>
      <c r="I205" s="4">
        <v>0</v>
      </c>
      <c r="J205" s="4">
        <f>Table1[[#This Row],[Goals]]*1000 + Table1[[#This Row],[Assists]]</f>
        <v>1</v>
      </c>
    </row>
    <row r="206" spans="1:10" x14ac:dyDescent="0.25">
      <c r="A206" s="5">
        <v>46146</v>
      </c>
      <c r="B206" s="4" t="s">
        <v>50</v>
      </c>
      <c r="C206" s="4" t="s">
        <v>41</v>
      </c>
      <c r="D206" s="4">
        <v>1</v>
      </c>
      <c r="E206" s="4">
        <v>0</v>
      </c>
      <c r="F206" s="4">
        <v>0</v>
      </c>
      <c r="G206" s="4">
        <v>1</v>
      </c>
      <c r="H206" s="4">
        <v>0</v>
      </c>
      <c r="I206" s="4">
        <v>0</v>
      </c>
      <c r="J206" s="4">
        <f>Table1[[#This Row],[Goals]]*1000 + Table1[[#This Row],[Assists]]</f>
        <v>1000</v>
      </c>
    </row>
    <row r="207" spans="1:10" x14ac:dyDescent="0.25">
      <c r="A207" s="5">
        <v>46146</v>
      </c>
      <c r="B207" s="4" t="s">
        <v>50</v>
      </c>
      <c r="C207" s="4" t="s">
        <v>42</v>
      </c>
      <c r="D207" s="4">
        <v>1</v>
      </c>
      <c r="E207" s="4">
        <v>0</v>
      </c>
      <c r="F207" s="4">
        <v>0</v>
      </c>
      <c r="G207" s="4">
        <v>1</v>
      </c>
      <c r="H207" s="4">
        <v>0</v>
      </c>
      <c r="I207" s="4">
        <v>0</v>
      </c>
      <c r="J207" s="4">
        <f>Table1[[#This Row],[Goals]]*1000 + Table1[[#This Row],[Assists]]</f>
        <v>1000</v>
      </c>
    </row>
    <row r="208" spans="1:10" x14ac:dyDescent="0.25">
      <c r="A208" s="5">
        <v>46146</v>
      </c>
      <c r="B208" s="4" t="s">
        <v>50</v>
      </c>
      <c r="C208" s="4" t="s">
        <v>40</v>
      </c>
      <c r="D208" s="4">
        <v>0</v>
      </c>
      <c r="E208" s="4">
        <v>1</v>
      </c>
      <c r="F208" s="4">
        <v>0</v>
      </c>
      <c r="G208" s="4">
        <v>1</v>
      </c>
      <c r="H208" s="4">
        <v>0</v>
      </c>
      <c r="I208" s="4">
        <v>0</v>
      </c>
      <c r="J208" s="4">
        <f>Table1[[#This Row],[Goals]]*1000 + Table1[[#This Row],[Assists]]</f>
        <v>1</v>
      </c>
    </row>
    <row r="209" spans="1:10" x14ac:dyDescent="0.25">
      <c r="A209" s="5">
        <v>46146</v>
      </c>
      <c r="B209" s="4" t="s">
        <v>50</v>
      </c>
      <c r="C209" s="4" t="s">
        <v>12</v>
      </c>
      <c r="D209" s="4">
        <v>0</v>
      </c>
      <c r="E209" s="4">
        <v>0</v>
      </c>
      <c r="F209" s="4">
        <v>1</v>
      </c>
      <c r="G209" s="4">
        <v>0</v>
      </c>
      <c r="H209" s="4">
        <v>0</v>
      </c>
      <c r="I209" s="4">
        <v>0</v>
      </c>
      <c r="J209" s="4">
        <f>Table1[[#This Row],[Goals]]*1000 + Table1[[#This Row],[Assists]]</f>
        <v>0</v>
      </c>
    </row>
    <row r="210" spans="1:10" x14ac:dyDescent="0.25">
      <c r="A210" s="5">
        <v>46146</v>
      </c>
      <c r="B210" s="4" t="s">
        <v>50</v>
      </c>
      <c r="C210" s="4" t="s">
        <v>61</v>
      </c>
      <c r="D210" s="4">
        <v>0</v>
      </c>
      <c r="E210" s="4">
        <v>0</v>
      </c>
      <c r="F210" s="4">
        <v>1</v>
      </c>
      <c r="G210" s="4">
        <v>0</v>
      </c>
      <c r="H210" s="4">
        <v>0</v>
      </c>
      <c r="I210" s="4">
        <v>0</v>
      </c>
      <c r="J210" s="4">
        <f>Table1[[#This Row],[Goals]]*1000 + Table1[[#This Row],[Assists]]</f>
        <v>0</v>
      </c>
    </row>
    <row r="211" spans="1:10" x14ac:dyDescent="0.25">
      <c r="A211" s="5">
        <v>46146</v>
      </c>
      <c r="B211" s="4" t="s">
        <v>50</v>
      </c>
      <c r="C211" s="4" t="s">
        <v>54</v>
      </c>
      <c r="D211" s="4">
        <v>0</v>
      </c>
      <c r="E211" s="4">
        <v>0</v>
      </c>
      <c r="F211" s="4">
        <v>1</v>
      </c>
      <c r="G211" s="4">
        <v>0</v>
      </c>
      <c r="H211" s="4">
        <v>0</v>
      </c>
      <c r="I211" s="4">
        <v>0</v>
      </c>
      <c r="J211" s="4">
        <f>Table1[[#This Row],[Goals]]*1000 + Table1[[#This Row],[Assists]]</f>
        <v>0</v>
      </c>
    </row>
    <row r="212" spans="1:10" x14ac:dyDescent="0.25">
      <c r="A212" s="5">
        <v>46146</v>
      </c>
      <c r="B212" s="4" t="s">
        <v>50</v>
      </c>
      <c r="C212" s="4" t="s">
        <v>4</v>
      </c>
      <c r="D212" s="4">
        <v>0</v>
      </c>
      <c r="E212" s="4">
        <v>0</v>
      </c>
      <c r="F212" s="4">
        <v>1</v>
      </c>
      <c r="G212" s="4">
        <v>0</v>
      </c>
      <c r="H212" s="4">
        <v>0</v>
      </c>
      <c r="I212" s="4">
        <v>0</v>
      </c>
      <c r="J212" s="4">
        <f>Table1[[#This Row],[Goals]]*1000 + Table1[[#This Row],[Assists]]</f>
        <v>0</v>
      </c>
    </row>
    <row r="213" spans="1:10" x14ac:dyDescent="0.25">
      <c r="A213" s="5">
        <v>46146</v>
      </c>
      <c r="B213" s="4" t="s">
        <v>50</v>
      </c>
      <c r="C213" s="4" t="s">
        <v>55</v>
      </c>
      <c r="D213" s="4">
        <v>3</v>
      </c>
      <c r="E213" s="4">
        <v>2</v>
      </c>
      <c r="F213" s="4">
        <v>1</v>
      </c>
      <c r="G213" s="4">
        <v>0</v>
      </c>
      <c r="H213" s="4">
        <v>0</v>
      </c>
      <c r="I213" s="4">
        <v>0</v>
      </c>
      <c r="J213" s="4">
        <f>Table1[[#This Row],[Goals]]*1000 + Table1[[#This Row],[Assists]]</f>
        <v>3002</v>
      </c>
    </row>
    <row r="214" spans="1:10" x14ac:dyDescent="0.25">
      <c r="A214" s="5">
        <v>46146</v>
      </c>
      <c r="B214" s="4" t="s">
        <v>50</v>
      </c>
      <c r="C214" s="4" t="s">
        <v>26</v>
      </c>
      <c r="D214" s="4">
        <v>0</v>
      </c>
      <c r="E214" s="4">
        <v>2</v>
      </c>
      <c r="F214" s="4">
        <v>1</v>
      </c>
      <c r="G214" s="4">
        <v>0</v>
      </c>
      <c r="H214" s="4">
        <v>0</v>
      </c>
      <c r="I214" s="4">
        <v>0</v>
      </c>
      <c r="J214" s="4">
        <f>Table1[[#This Row],[Goals]]*1000 + Table1[[#This Row],[Assists]]</f>
        <v>2</v>
      </c>
    </row>
    <row r="215" spans="1:10" x14ac:dyDescent="0.25">
      <c r="A215" s="5">
        <v>46146</v>
      </c>
      <c r="B215" s="4" t="s">
        <v>50</v>
      </c>
      <c r="C215" s="4" t="s">
        <v>11</v>
      </c>
      <c r="D215" s="4">
        <v>2</v>
      </c>
      <c r="E215" s="4">
        <v>1</v>
      </c>
      <c r="F215" s="4">
        <v>1</v>
      </c>
      <c r="G215" s="4">
        <v>0</v>
      </c>
      <c r="H215" s="4">
        <v>0</v>
      </c>
      <c r="I215" s="4">
        <v>0</v>
      </c>
      <c r="J215" s="4">
        <f>Table1[[#This Row],[Goals]]*1000 + Table1[[#This Row],[Assists]]</f>
        <v>2001</v>
      </c>
    </row>
    <row r="216" spans="1:10" x14ac:dyDescent="0.25">
      <c r="A216" s="5">
        <v>46153</v>
      </c>
      <c r="B216" s="4" t="s">
        <v>51</v>
      </c>
      <c r="C216" s="4" t="s">
        <v>61</v>
      </c>
      <c r="D216" s="4">
        <v>0</v>
      </c>
      <c r="E216" s="4">
        <v>2</v>
      </c>
      <c r="F216" s="4">
        <v>0</v>
      </c>
      <c r="G216" s="4">
        <v>1</v>
      </c>
      <c r="H216" s="4">
        <v>0</v>
      </c>
      <c r="I216" s="4">
        <v>0</v>
      </c>
      <c r="J216" s="4">
        <f>Table1[[#This Row],[Goals]]*1000 + Table1[[#This Row],[Assists]]</f>
        <v>2</v>
      </c>
    </row>
    <row r="217" spans="1:10" x14ac:dyDescent="0.25">
      <c r="A217" s="5">
        <v>46153</v>
      </c>
      <c r="B217" s="4" t="s">
        <v>51</v>
      </c>
      <c r="C217" s="4" t="s">
        <v>4</v>
      </c>
      <c r="D217" s="4">
        <v>0</v>
      </c>
      <c r="E217" s="4">
        <v>0</v>
      </c>
      <c r="F217" s="4">
        <v>0</v>
      </c>
      <c r="G217" s="4">
        <v>1</v>
      </c>
      <c r="H217" s="4">
        <v>0</v>
      </c>
      <c r="I217" s="4">
        <v>0</v>
      </c>
      <c r="J217" s="4">
        <f>Table1[[#This Row],[Goals]]*1000 + Table1[[#This Row],[Assists]]</f>
        <v>0</v>
      </c>
    </row>
    <row r="218" spans="1:10" x14ac:dyDescent="0.25">
      <c r="A218" s="5">
        <v>46153</v>
      </c>
      <c r="B218" s="4" t="s">
        <v>51</v>
      </c>
      <c r="C218" s="4" t="s">
        <v>57</v>
      </c>
      <c r="D218" s="4">
        <v>1</v>
      </c>
      <c r="E218" s="4">
        <v>0</v>
      </c>
      <c r="F218" s="4">
        <v>0</v>
      </c>
      <c r="G218" s="4">
        <v>1</v>
      </c>
      <c r="H218" s="4">
        <v>0</v>
      </c>
      <c r="I218" s="4">
        <v>0</v>
      </c>
      <c r="J218" s="4">
        <f>Table1[[#This Row],[Goals]]*1000 + Table1[[#This Row],[Assists]]</f>
        <v>1000</v>
      </c>
    </row>
    <row r="219" spans="1:10" x14ac:dyDescent="0.25">
      <c r="A219" s="5">
        <v>46153</v>
      </c>
      <c r="B219" s="4" t="s">
        <v>51</v>
      </c>
      <c r="C219" s="4" t="s">
        <v>55</v>
      </c>
      <c r="D219" s="4">
        <v>0</v>
      </c>
      <c r="E219" s="4">
        <v>1</v>
      </c>
      <c r="F219" s="4">
        <v>0</v>
      </c>
      <c r="G219" s="4">
        <v>1</v>
      </c>
      <c r="H219" s="4">
        <v>0</v>
      </c>
      <c r="I219" s="4">
        <v>0</v>
      </c>
      <c r="J219" s="4">
        <f>Table1[[#This Row],[Goals]]*1000 + Table1[[#This Row],[Assists]]</f>
        <v>1</v>
      </c>
    </row>
    <row r="220" spans="1:10" x14ac:dyDescent="0.25">
      <c r="A220" s="5">
        <v>46153</v>
      </c>
      <c r="B220" s="4" t="s">
        <v>51</v>
      </c>
      <c r="C220" s="4" t="s">
        <v>46</v>
      </c>
      <c r="D220" s="4">
        <v>1</v>
      </c>
      <c r="E220" s="4">
        <v>0</v>
      </c>
      <c r="F220" s="4">
        <v>0</v>
      </c>
      <c r="G220" s="4">
        <v>1</v>
      </c>
      <c r="H220" s="4">
        <v>0</v>
      </c>
      <c r="I220" s="4">
        <v>0</v>
      </c>
      <c r="J220" s="4">
        <f>Table1[[#This Row],[Goals]]*1000 + Table1[[#This Row],[Assists]]</f>
        <v>1000</v>
      </c>
    </row>
    <row r="221" spans="1:10" x14ac:dyDescent="0.25">
      <c r="A221" s="5">
        <v>46153</v>
      </c>
      <c r="B221" s="4" t="s">
        <v>51</v>
      </c>
      <c r="C221" s="4" t="s">
        <v>52</v>
      </c>
      <c r="D221" s="4">
        <v>1</v>
      </c>
      <c r="E221" s="4">
        <v>0</v>
      </c>
      <c r="F221" s="4">
        <v>0</v>
      </c>
      <c r="G221" s="4">
        <v>1</v>
      </c>
      <c r="H221" s="4">
        <v>0</v>
      </c>
      <c r="I221" s="4">
        <v>0</v>
      </c>
      <c r="J221" s="4">
        <f>Table1[[#This Row],[Goals]]*1000 + Table1[[#This Row],[Assists]]</f>
        <v>1000</v>
      </c>
    </row>
    <row r="222" spans="1:10" x14ac:dyDescent="0.25">
      <c r="A222" s="5">
        <v>46153</v>
      </c>
      <c r="B222" s="4" t="s">
        <v>51</v>
      </c>
      <c r="C222" s="4" t="s">
        <v>40</v>
      </c>
      <c r="D222" s="4">
        <v>1</v>
      </c>
      <c r="E222" s="4">
        <v>1</v>
      </c>
      <c r="F222" s="4">
        <v>0</v>
      </c>
      <c r="G222" s="4">
        <v>1</v>
      </c>
      <c r="H222" s="4">
        <v>0</v>
      </c>
      <c r="I222" s="4">
        <v>0</v>
      </c>
      <c r="J222" s="4">
        <f>Table1[[#This Row],[Goals]]*1000 + Table1[[#This Row],[Assists]]</f>
        <v>1001</v>
      </c>
    </row>
    <row r="223" spans="1:10" x14ac:dyDescent="0.25">
      <c r="A223" s="5">
        <v>46153</v>
      </c>
      <c r="B223" s="4" t="s">
        <v>51</v>
      </c>
      <c r="C223" s="4" t="s">
        <v>54</v>
      </c>
      <c r="D223" s="4">
        <v>1</v>
      </c>
      <c r="E223" s="4">
        <v>0</v>
      </c>
      <c r="F223" s="4">
        <v>1</v>
      </c>
      <c r="G223" s="4">
        <v>0</v>
      </c>
      <c r="H223" s="4">
        <v>0</v>
      </c>
      <c r="I223" s="4">
        <v>0</v>
      </c>
      <c r="J223" s="4">
        <f>Table1[[#This Row],[Goals]]*1000 + Table1[[#This Row],[Assists]]</f>
        <v>1000</v>
      </c>
    </row>
    <row r="224" spans="1:10" x14ac:dyDescent="0.25">
      <c r="A224" s="5">
        <v>46153</v>
      </c>
      <c r="B224" s="4" t="s">
        <v>51</v>
      </c>
      <c r="C224" s="4" t="s">
        <v>53</v>
      </c>
      <c r="D224" s="4">
        <v>0</v>
      </c>
      <c r="E224" s="4">
        <v>0</v>
      </c>
      <c r="F224" s="4">
        <v>1</v>
      </c>
      <c r="G224" s="4">
        <v>0</v>
      </c>
      <c r="H224" s="4">
        <v>0</v>
      </c>
      <c r="I224" s="4">
        <v>0</v>
      </c>
      <c r="J224" s="4">
        <f>Table1[[#This Row],[Goals]]*1000 + Table1[[#This Row],[Assists]]</f>
        <v>0</v>
      </c>
    </row>
    <row r="225" spans="1:10" x14ac:dyDescent="0.25">
      <c r="A225" s="5">
        <v>46153</v>
      </c>
      <c r="B225" s="4" t="s">
        <v>51</v>
      </c>
      <c r="C225" s="4" t="s">
        <v>43</v>
      </c>
      <c r="D225" s="4">
        <v>0</v>
      </c>
      <c r="E225" s="4">
        <v>1</v>
      </c>
      <c r="F225" s="4">
        <v>1</v>
      </c>
      <c r="G225" s="4">
        <v>0</v>
      </c>
      <c r="H225" s="4">
        <v>0</v>
      </c>
      <c r="I225" s="4">
        <v>0</v>
      </c>
      <c r="J225" s="4">
        <f>Table1[[#This Row],[Goals]]*1000 + Table1[[#This Row],[Assists]]</f>
        <v>1</v>
      </c>
    </row>
    <row r="226" spans="1:10" x14ac:dyDescent="0.25">
      <c r="A226" s="5">
        <v>46153</v>
      </c>
      <c r="B226" s="4" t="s">
        <v>51</v>
      </c>
      <c r="C226" s="4" t="s">
        <v>41</v>
      </c>
      <c r="D226" s="4">
        <v>2</v>
      </c>
      <c r="E226" s="4">
        <v>1</v>
      </c>
      <c r="F226" s="4">
        <v>1</v>
      </c>
      <c r="G226" s="4">
        <v>0</v>
      </c>
      <c r="H226" s="4">
        <v>0</v>
      </c>
      <c r="I226" s="4">
        <v>0</v>
      </c>
      <c r="J226" s="4">
        <f>Table1[[#This Row],[Goals]]*1000 + Table1[[#This Row],[Assists]]</f>
        <v>2001</v>
      </c>
    </row>
    <row r="227" spans="1:10" x14ac:dyDescent="0.25">
      <c r="A227" s="5">
        <v>46153</v>
      </c>
      <c r="B227" s="4" t="s">
        <v>51</v>
      </c>
      <c r="C227" s="4" t="s">
        <v>33</v>
      </c>
      <c r="D227" s="4">
        <v>0</v>
      </c>
      <c r="E227" s="4">
        <v>0</v>
      </c>
      <c r="F227" s="4">
        <v>1</v>
      </c>
      <c r="G227" s="4">
        <v>0</v>
      </c>
      <c r="H227" s="4">
        <v>0</v>
      </c>
      <c r="I227" s="4">
        <v>0</v>
      </c>
      <c r="J227" s="4">
        <f>Table1[[#This Row],[Goals]]*1000 + Table1[[#This Row],[Assists]]</f>
        <v>0</v>
      </c>
    </row>
    <row r="228" spans="1:10" x14ac:dyDescent="0.25">
      <c r="A228" s="5">
        <v>46153</v>
      </c>
      <c r="B228" s="4" t="s">
        <v>51</v>
      </c>
      <c r="C228" s="4" t="s">
        <v>49</v>
      </c>
      <c r="D228" s="4">
        <v>2</v>
      </c>
      <c r="E228" s="4">
        <v>1</v>
      </c>
      <c r="F228" s="4">
        <v>1</v>
      </c>
      <c r="G228" s="4">
        <v>0</v>
      </c>
      <c r="H228" s="4">
        <v>0</v>
      </c>
      <c r="I228" s="4">
        <v>0</v>
      </c>
      <c r="J228" s="4">
        <f>Table1[[#This Row],[Goals]]*1000 + Table1[[#This Row],[Assists]]</f>
        <v>2001</v>
      </c>
    </row>
    <row r="229" spans="1:10" x14ac:dyDescent="0.25">
      <c r="A229" s="5">
        <v>46153</v>
      </c>
      <c r="B229" s="4" t="s">
        <v>51</v>
      </c>
      <c r="C229" s="4" t="s">
        <v>42</v>
      </c>
      <c r="D229" s="4">
        <v>0</v>
      </c>
      <c r="E229" s="4">
        <v>0</v>
      </c>
      <c r="F229" s="4">
        <v>1</v>
      </c>
      <c r="G229" s="4">
        <v>0</v>
      </c>
      <c r="H229" s="4">
        <v>0</v>
      </c>
      <c r="I229" s="4">
        <v>0</v>
      </c>
      <c r="J229" s="4">
        <f>Table1[[#This Row],[Goals]]*1000 + Table1[[#This Row],[Assists]]</f>
        <v>0</v>
      </c>
    </row>
    <row r="230" spans="1:10" x14ac:dyDescent="0.25">
      <c r="A230" s="5">
        <v>46160</v>
      </c>
      <c r="B230" s="4" t="s">
        <v>88</v>
      </c>
      <c r="C230" s="4" t="s">
        <v>53</v>
      </c>
      <c r="D230" s="4">
        <v>0</v>
      </c>
      <c r="E230" s="4">
        <v>1</v>
      </c>
      <c r="F230" s="4">
        <v>1</v>
      </c>
      <c r="G230" s="4">
        <v>0</v>
      </c>
      <c r="H230" s="4">
        <v>0</v>
      </c>
      <c r="I230" s="4">
        <v>0</v>
      </c>
      <c r="J230" s="4">
        <f>Table1[[#This Row],[Goals]]*1000 + Table1[[#This Row],[Assists]]</f>
        <v>1</v>
      </c>
    </row>
    <row r="231" spans="1:10" x14ac:dyDescent="0.25">
      <c r="A231" s="5">
        <v>46160</v>
      </c>
      <c r="B231" s="4" t="s">
        <v>88</v>
      </c>
      <c r="C231" s="4" t="s">
        <v>62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4">
        <v>0</v>
      </c>
      <c r="J231" s="4">
        <f>Table1[[#This Row],[Goals]]*1000 + Table1[[#This Row],[Assists]]</f>
        <v>1001</v>
      </c>
    </row>
    <row r="232" spans="1:10" x14ac:dyDescent="0.25">
      <c r="A232" s="5">
        <v>46160</v>
      </c>
      <c r="B232" s="4" t="s">
        <v>88</v>
      </c>
      <c r="C232" s="4" t="s">
        <v>46</v>
      </c>
      <c r="D232" s="4">
        <v>0</v>
      </c>
      <c r="E232" s="4">
        <v>0</v>
      </c>
      <c r="F232" s="4">
        <v>1</v>
      </c>
      <c r="G232" s="4">
        <v>0</v>
      </c>
      <c r="H232" s="4">
        <v>0</v>
      </c>
      <c r="I232" s="4">
        <v>0</v>
      </c>
      <c r="J232" s="4">
        <f>Table1[[#This Row],[Goals]]*1000 + Table1[[#This Row],[Assists]]</f>
        <v>0</v>
      </c>
    </row>
    <row r="233" spans="1:10" x14ac:dyDescent="0.25">
      <c r="A233" s="5">
        <v>46160</v>
      </c>
      <c r="B233" s="4" t="s">
        <v>88</v>
      </c>
      <c r="C233" s="4" t="s">
        <v>54</v>
      </c>
      <c r="D233" s="4">
        <v>0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f>Table1[[#This Row],[Goals]]*1000 + Table1[[#This Row],[Assists]]</f>
        <v>0</v>
      </c>
    </row>
    <row r="234" spans="1:10" x14ac:dyDescent="0.25">
      <c r="A234" s="5">
        <v>46160</v>
      </c>
      <c r="B234" s="4" t="s">
        <v>88</v>
      </c>
      <c r="C234" s="4" t="s">
        <v>41</v>
      </c>
      <c r="D234" s="4">
        <v>0</v>
      </c>
      <c r="E234" s="4">
        <v>1</v>
      </c>
      <c r="F234" s="4">
        <v>1</v>
      </c>
      <c r="G234" s="4">
        <v>0</v>
      </c>
      <c r="H234" s="4">
        <v>0</v>
      </c>
      <c r="I234" s="4">
        <v>0</v>
      </c>
      <c r="J234" s="4">
        <f>Table1[[#This Row],[Goals]]*1000 + Table1[[#This Row],[Assists]]</f>
        <v>1</v>
      </c>
    </row>
    <row r="235" spans="1:10" x14ac:dyDescent="0.25">
      <c r="A235" s="5">
        <v>46160</v>
      </c>
      <c r="B235" s="4" t="s">
        <v>88</v>
      </c>
      <c r="C235" s="4" t="s">
        <v>34</v>
      </c>
      <c r="D235" s="4">
        <v>0</v>
      </c>
      <c r="E235" s="4">
        <v>0</v>
      </c>
      <c r="F235" s="4">
        <v>1</v>
      </c>
      <c r="G235" s="4">
        <v>0</v>
      </c>
      <c r="H235" s="4">
        <v>0</v>
      </c>
      <c r="I235" s="4">
        <v>0</v>
      </c>
      <c r="J235" s="4">
        <f>Table1[[#This Row],[Goals]]*1000 + Table1[[#This Row],[Assists]]</f>
        <v>0</v>
      </c>
    </row>
    <row r="236" spans="1:10" x14ac:dyDescent="0.25">
      <c r="A236" s="5">
        <v>46160</v>
      </c>
      <c r="B236" s="4" t="s">
        <v>88</v>
      </c>
      <c r="C236" s="4" t="s">
        <v>11</v>
      </c>
      <c r="D236" s="4">
        <v>5</v>
      </c>
      <c r="E236" s="4">
        <v>0</v>
      </c>
      <c r="F236" s="4">
        <v>1</v>
      </c>
      <c r="G236" s="4">
        <v>0</v>
      </c>
      <c r="H236" s="4">
        <v>0</v>
      </c>
      <c r="I236" s="4">
        <v>0</v>
      </c>
      <c r="J236" s="4">
        <f>Table1[[#This Row],[Goals]]*1000 + Table1[[#This Row],[Assists]]</f>
        <v>5000</v>
      </c>
    </row>
    <row r="237" spans="1:10" x14ac:dyDescent="0.25">
      <c r="A237" s="5">
        <v>46160</v>
      </c>
      <c r="B237" s="4" t="s">
        <v>88</v>
      </c>
      <c r="C237" s="4" t="s">
        <v>56</v>
      </c>
      <c r="D237" s="4">
        <v>0</v>
      </c>
      <c r="E237" s="4">
        <v>0</v>
      </c>
      <c r="F237" s="4">
        <v>0</v>
      </c>
      <c r="G237" s="4">
        <v>1</v>
      </c>
      <c r="H237" s="4">
        <v>0</v>
      </c>
      <c r="I237" s="4">
        <v>0</v>
      </c>
      <c r="J237" s="4">
        <f>Table1[[#This Row],[Goals]]*1000 + Table1[[#This Row],[Assists]]</f>
        <v>0</v>
      </c>
    </row>
    <row r="238" spans="1:10" x14ac:dyDescent="0.25">
      <c r="A238" s="5">
        <v>46160</v>
      </c>
      <c r="B238" s="4" t="s">
        <v>88</v>
      </c>
      <c r="C238" s="4" t="s">
        <v>63</v>
      </c>
      <c r="D238" s="4">
        <v>0</v>
      </c>
      <c r="E238" s="4">
        <v>0</v>
      </c>
      <c r="F238" s="4">
        <v>0</v>
      </c>
      <c r="G238" s="4">
        <v>1</v>
      </c>
      <c r="H238" s="4">
        <v>0</v>
      </c>
      <c r="I238" s="4">
        <v>0</v>
      </c>
      <c r="J238" s="4">
        <f>Table1[[#This Row],[Goals]]*1000 + Table1[[#This Row],[Assists]]</f>
        <v>0</v>
      </c>
    </row>
    <row r="239" spans="1:10" x14ac:dyDescent="0.25">
      <c r="A239" s="5">
        <v>46160</v>
      </c>
      <c r="B239" s="4" t="s">
        <v>88</v>
      </c>
      <c r="C239" s="4" t="s">
        <v>57</v>
      </c>
      <c r="D239" s="4">
        <v>1</v>
      </c>
      <c r="E239" s="4">
        <v>0</v>
      </c>
      <c r="F239" s="4">
        <v>0</v>
      </c>
      <c r="G239" s="4">
        <v>1</v>
      </c>
      <c r="H239" s="4">
        <v>0</v>
      </c>
      <c r="I239" s="4">
        <v>0</v>
      </c>
      <c r="J239" s="4">
        <f>Table1[[#This Row],[Goals]]*1000 + Table1[[#This Row],[Assists]]</f>
        <v>1000</v>
      </c>
    </row>
    <row r="240" spans="1:10" x14ac:dyDescent="0.25">
      <c r="A240" s="5">
        <v>46160</v>
      </c>
      <c r="B240" s="4" t="s">
        <v>88</v>
      </c>
      <c r="C240" s="4" t="s">
        <v>55</v>
      </c>
      <c r="D240" s="4">
        <v>2</v>
      </c>
      <c r="E240" s="4">
        <v>1</v>
      </c>
      <c r="F240" s="4">
        <v>0</v>
      </c>
      <c r="G240" s="4">
        <v>1</v>
      </c>
      <c r="H240" s="4">
        <v>0</v>
      </c>
      <c r="I240" s="4">
        <v>0</v>
      </c>
      <c r="J240" s="4">
        <f>Table1[[#This Row],[Goals]]*1000 + Table1[[#This Row],[Assists]]</f>
        <v>2001</v>
      </c>
    </row>
    <row r="241" spans="1:10" x14ac:dyDescent="0.25">
      <c r="A241" s="5">
        <v>46160</v>
      </c>
      <c r="B241" s="4" t="s">
        <v>88</v>
      </c>
      <c r="C241" s="4" t="s">
        <v>33</v>
      </c>
      <c r="D241" s="4">
        <v>0</v>
      </c>
      <c r="E241" s="4">
        <v>0</v>
      </c>
      <c r="F241" s="4">
        <v>0</v>
      </c>
      <c r="G241" s="4">
        <v>1</v>
      </c>
      <c r="H241" s="4">
        <v>0</v>
      </c>
      <c r="I241" s="4">
        <v>0</v>
      </c>
      <c r="J241" s="4">
        <f>Table1[[#This Row],[Goals]]*1000 + Table1[[#This Row],[Assists]]</f>
        <v>0</v>
      </c>
    </row>
    <row r="242" spans="1:10" x14ac:dyDescent="0.25">
      <c r="A242" s="5">
        <v>46160</v>
      </c>
      <c r="B242" s="4" t="s">
        <v>88</v>
      </c>
      <c r="C242" s="4" t="s">
        <v>42</v>
      </c>
      <c r="D242" s="4">
        <v>2</v>
      </c>
      <c r="E242" s="4">
        <v>0</v>
      </c>
      <c r="F242" s="4">
        <v>0</v>
      </c>
      <c r="G242" s="4">
        <v>1</v>
      </c>
      <c r="H242" s="4">
        <v>0</v>
      </c>
      <c r="I242" s="4">
        <v>0</v>
      </c>
      <c r="J242" s="4">
        <f>Table1[[#This Row],[Goals]]*1000 + Table1[[#This Row],[Assists]]</f>
        <v>2000</v>
      </c>
    </row>
    <row r="243" spans="1:10" x14ac:dyDescent="0.25">
      <c r="A243" s="5">
        <v>46160</v>
      </c>
      <c r="B243" s="4" t="s">
        <v>88</v>
      </c>
      <c r="C243" s="4" t="s">
        <v>40</v>
      </c>
      <c r="D243" s="4">
        <v>0</v>
      </c>
      <c r="E243" s="4">
        <v>3</v>
      </c>
      <c r="F243" s="4">
        <v>0</v>
      </c>
      <c r="G243" s="4">
        <v>1</v>
      </c>
      <c r="H243" s="4">
        <v>0</v>
      </c>
      <c r="I243" s="4">
        <v>0</v>
      </c>
      <c r="J243" s="4">
        <f>Table1[[#This Row],[Goals]]*1000 + Table1[[#This Row],[Assists]]</f>
        <v>3</v>
      </c>
    </row>
    <row r="244" spans="1:10" x14ac:dyDescent="0.25">
      <c r="A244" s="5">
        <v>46174</v>
      </c>
      <c r="B244" s="4" t="s">
        <v>92</v>
      </c>
      <c r="C244" s="4" t="s">
        <v>56</v>
      </c>
      <c r="D244" s="4">
        <v>0</v>
      </c>
      <c r="E244" s="4">
        <v>0</v>
      </c>
      <c r="F244" s="4">
        <v>0</v>
      </c>
      <c r="G244" s="4">
        <v>1</v>
      </c>
      <c r="H244" s="4">
        <v>0</v>
      </c>
      <c r="I244" s="4">
        <v>0</v>
      </c>
      <c r="J244" s="4">
        <v>0</v>
      </c>
    </row>
    <row r="245" spans="1:10" x14ac:dyDescent="0.25">
      <c r="A245" s="5">
        <v>46174</v>
      </c>
      <c r="B245" s="4" t="s">
        <v>92</v>
      </c>
      <c r="C245" s="4" t="s">
        <v>54</v>
      </c>
      <c r="D245" s="4">
        <v>0</v>
      </c>
      <c r="E245" s="4">
        <v>1</v>
      </c>
      <c r="F245" s="4">
        <v>0</v>
      </c>
      <c r="G245" s="4">
        <v>1</v>
      </c>
      <c r="H245" s="4">
        <v>0</v>
      </c>
      <c r="I245" s="4">
        <v>0</v>
      </c>
      <c r="J245" s="4">
        <f>Table1[[#This Row],[Goals]]*1000 + Table1[[#This Row],[Assists]]</f>
        <v>1</v>
      </c>
    </row>
    <row r="246" spans="1:10" x14ac:dyDescent="0.25">
      <c r="A246" s="5">
        <v>46174</v>
      </c>
      <c r="B246" s="4" t="s">
        <v>92</v>
      </c>
      <c r="C246" s="4" t="s">
        <v>63</v>
      </c>
      <c r="D246" s="4">
        <v>1</v>
      </c>
      <c r="E246" s="4">
        <v>0</v>
      </c>
      <c r="F246" s="4">
        <v>0</v>
      </c>
      <c r="G246" s="4">
        <v>1</v>
      </c>
      <c r="H246" s="4">
        <v>0</v>
      </c>
      <c r="I246" s="4">
        <v>0</v>
      </c>
      <c r="J246" s="4">
        <f>Table1[[#This Row],[Goals]]*1000 + Table1[[#This Row],[Assists]]</f>
        <v>1000</v>
      </c>
    </row>
    <row r="247" spans="1:10" x14ac:dyDescent="0.25">
      <c r="A247" s="5">
        <v>46174</v>
      </c>
      <c r="B247" s="4" t="s">
        <v>92</v>
      </c>
      <c r="C247" s="4" t="s">
        <v>55</v>
      </c>
      <c r="D247" s="4">
        <v>1</v>
      </c>
      <c r="E247" s="4">
        <v>0</v>
      </c>
      <c r="F247" s="4">
        <v>0</v>
      </c>
      <c r="G247" s="4">
        <v>1</v>
      </c>
      <c r="H247" s="4">
        <v>0</v>
      </c>
      <c r="I247" s="4">
        <v>0</v>
      </c>
      <c r="J247" s="4">
        <f>Table1[[#This Row],[Goals]]*1000 + Table1[[#This Row],[Assists]]</f>
        <v>1000</v>
      </c>
    </row>
    <row r="248" spans="1:10" x14ac:dyDescent="0.25">
      <c r="A248" s="5">
        <v>46174</v>
      </c>
      <c r="B248" s="4" t="s">
        <v>92</v>
      </c>
      <c r="C248" s="4" t="s">
        <v>93</v>
      </c>
      <c r="D248" s="4">
        <v>0</v>
      </c>
      <c r="E248" s="4">
        <v>0</v>
      </c>
      <c r="F248" s="4">
        <v>0</v>
      </c>
      <c r="G248" s="4">
        <v>1</v>
      </c>
      <c r="H248" s="4">
        <v>0</v>
      </c>
      <c r="I248" s="4">
        <v>0</v>
      </c>
      <c r="J248" s="4">
        <f>Table1[[#This Row],[Goals]]*1000 + Table1[[#This Row],[Assists]]</f>
        <v>0</v>
      </c>
    </row>
    <row r="249" spans="1:10" x14ac:dyDescent="0.25">
      <c r="A249" s="5">
        <v>46174</v>
      </c>
      <c r="B249" s="4" t="s">
        <v>92</v>
      </c>
      <c r="C249" s="4" t="s">
        <v>57</v>
      </c>
      <c r="D249" s="4">
        <v>0</v>
      </c>
      <c r="E249" s="4">
        <v>1</v>
      </c>
      <c r="F249" s="4">
        <v>0</v>
      </c>
      <c r="G249" s="4">
        <v>1</v>
      </c>
      <c r="H249" s="4">
        <v>0</v>
      </c>
      <c r="I249" s="4">
        <v>0</v>
      </c>
      <c r="J249" s="4">
        <f>Table1[[#This Row],[Goals]]*1000 + Table1[[#This Row],[Assists]]</f>
        <v>1</v>
      </c>
    </row>
    <row r="250" spans="1:10" x14ac:dyDescent="0.25">
      <c r="A250" s="5">
        <v>46174</v>
      </c>
      <c r="B250" s="4" t="s">
        <v>92</v>
      </c>
      <c r="C250" s="4" t="s">
        <v>33</v>
      </c>
      <c r="D250" s="4">
        <v>1</v>
      </c>
      <c r="E250" s="4">
        <v>0</v>
      </c>
      <c r="F250" s="4">
        <v>0</v>
      </c>
      <c r="G250" s="4">
        <v>1</v>
      </c>
      <c r="H250" s="4">
        <v>0</v>
      </c>
      <c r="I250" s="4">
        <v>0</v>
      </c>
      <c r="J250" s="4">
        <f>Table1[[#This Row],[Goals]]*1000 + Table1[[#This Row],[Assists]]</f>
        <v>1000</v>
      </c>
    </row>
    <row r="251" spans="1:10" x14ac:dyDescent="0.25">
      <c r="A251" s="5">
        <v>46174</v>
      </c>
      <c r="B251" s="4" t="s">
        <v>92</v>
      </c>
      <c r="C251" s="4" t="s">
        <v>61</v>
      </c>
      <c r="D251" s="4">
        <v>0</v>
      </c>
      <c r="E251" s="4">
        <v>0</v>
      </c>
      <c r="F251" s="4">
        <v>1</v>
      </c>
      <c r="G251" s="4">
        <v>0</v>
      </c>
      <c r="H251" s="4">
        <v>0</v>
      </c>
      <c r="I251" s="4">
        <v>0</v>
      </c>
      <c r="J251" s="4">
        <f>Table1[[#This Row],[Goals]]*1000 + Table1[[#This Row],[Assists]]</f>
        <v>0</v>
      </c>
    </row>
    <row r="252" spans="1:10" x14ac:dyDescent="0.25">
      <c r="A252" s="5">
        <v>46174</v>
      </c>
      <c r="B252" s="4" t="s">
        <v>92</v>
      </c>
      <c r="C252" s="4" t="s">
        <v>62</v>
      </c>
      <c r="D252" s="4">
        <v>1</v>
      </c>
      <c r="E252" s="4">
        <v>0</v>
      </c>
      <c r="F252" s="4">
        <v>1</v>
      </c>
      <c r="G252" s="4">
        <v>0</v>
      </c>
      <c r="H252" s="4">
        <v>0</v>
      </c>
      <c r="I252" s="4">
        <v>0</v>
      </c>
      <c r="J252" s="4">
        <f>Table1[[#This Row],[Goals]]*1000 + Table1[[#This Row],[Assists]]</f>
        <v>1000</v>
      </c>
    </row>
    <row r="253" spans="1:10" x14ac:dyDescent="0.25">
      <c r="A253" s="5">
        <v>46174</v>
      </c>
      <c r="B253" s="4" t="s">
        <v>92</v>
      </c>
      <c r="C253" s="4" t="s">
        <v>34</v>
      </c>
      <c r="D253" s="4">
        <v>1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4">
        <f>Table1[[#This Row],[Goals]]*1000 + Table1[[#This Row],[Assists]]</f>
        <v>1000</v>
      </c>
    </row>
    <row r="254" spans="1:10" x14ac:dyDescent="0.25">
      <c r="A254" s="5">
        <v>46174</v>
      </c>
      <c r="B254" s="4" t="s">
        <v>92</v>
      </c>
      <c r="C254" s="4" t="s">
        <v>40</v>
      </c>
      <c r="D254" s="4">
        <v>1</v>
      </c>
      <c r="E254" s="4">
        <v>2</v>
      </c>
      <c r="F254" s="4">
        <v>1</v>
      </c>
      <c r="G254" s="4">
        <v>0</v>
      </c>
      <c r="H254" s="4">
        <v>0</v>
      </c>
      <c r="I254" s="4">
        <v>0</v>
      </c>
      <c r="J254" s="4">
        <f>Table1[[#This Row],[Goals]]*1000 + Table1[[#This Row],[Assists]]</f>
        <v>1002</v>
      </c>
    </row>
    <row r="255" spans="1:10" x14ac:dyDescent="0.25">
      <c r="A255" s="5">
        <v>46174</v>
      </c>
      <c r="B255" s="4" t="s">
        <v>92</v>
      </c>
      <c r="C255" s="4" t="s">
        <v>41</v>
      </c>
      <c r="D255" s="4">
        <v>1</v>
      </c>
      <c r="E255" s="4">
        <v>0</v>
      </c>
      <c r="F255" s="4">
        <v>1</v>
      </c>
      <c r="G255" s="4">
        <v>0</v>
      </c>
      <c r="H255" s="4">
        <v>0</v>
      </c>
      <c r="I255" s="4">
        <v>0</v>
      </c>
      <c r="J255" s="4">
        <f>Table1[[#This Row],[Goals]]*1000 + Table1[[#This Row],[Assists]]</f>
        <v>1000</v>
      </c>
    </row>
    <row r="256" spans="1:10" x14ac:dyDescent="0.25">
      <c r="A256" s="5">
        <v>46174</v>
      </c>
      <c r="B256" s="4" t="s">
        <v>92</v>
      </c>
      <c r="C256" s="4" t="s">
        <v>60</v>
      </c>
      <c r="D256" s="4">
        <v>0</v>
      </c>
      <c r="E256" s="4">
        <v>0</v>
      </c>
      <c r="F256" s="4">
        <v>1</v>
      </c>
      <c r="G256" s="4">
        <v>0</v>
      </c>
      <c r="H256" s="4">
        <v>0</v>
      </c>
      <c r="I256" s="4">
        <v>0</v>
      </c>
      <c r="J256" s="4">
        <f>Table1[[#This Row],[Goals]]*1000 + Table1[[#This Row],[Assists]]</f>
        <v>0</v>
      </c>
    </row>
    <row r="257" spans="1:10" x14ac:dyDescent="0.25">
      <c r="A257" s="5">
        <v>46174</v>
      </c>
      <c r="B257" s="4" t="s">
        <v>92</v>
      </c>
      <c r="C257" s="4" t="s">
        <v>52</v>
      </c>
      <c r="D257" s="4">
        <v>1</v>
      </c>
      <c r="E257" s="4">
        <v>1</v>
      </c>
      <c r="F257" s="4">
        <v>1</v>
      </c>
      <c r="G257" s="4">
        <v>0</v>
      </c>
      <c r="H257" s="4">
        <v>0</v>
      </c>
      <c r="I257" s="4">
        <v>0</v>
      </c>
      <c r="J257" s="4">
        <f>Table1[[#This Row],[Goals]]*1000 + Table1[[#This Row],[Assists]]</f>
        <v>1001</v>
      </c>
    </row>
    <row r="258" spans="1:10" x14ac:dyDescent="0.25">
      <c r="A258" s="5">
        <v>46181</v>
      </c>
      <c r="B258" s="4" t="s">
        <v>100</v>
      </c>
      <c r="C258" s="4" t="s">
        <v>56</v>
      </c>
      <c r="D258" s="4">
        <v>0</v>
      </c>
      <c r="E258" s="4">
        <v>1</v>
      </c>
      <c r="F258" s="4">
        <v>1</v>
      </c>
      <c r="G258" s="4">
        <v>0</v>
      </c>
      <c r="H258" s="4">
        <v>0</v>
      </c>
      <c r="I258" s="4">
        <v>0</v>
      </c>
      <c r="J258" s="4">
        <f>Table1[[#This Row],[Goals]]*1000 + Table1[[#This Row],[Assists]]</f>
        <v>1</v>
      </c>
    </row>
    <row r="259" spans="1:10" x14ac:dyDescent="0.25">
      <c r="A259" s="5">
        <v>46181</v>
      </c>
      <c r="B259" s="4" t="s">
        <v>100</v>
      </c>
      <c r="C259" s="4" t="s">
        <v>93</v>
      </c>
      <c r="D259" s="4">
        <v>0</v>
      </c>
      <c r="E259" s="4">
        <v>0</v>
      </c>
      <c r="F259" s="4">
        <v>1</v>
      </c>
      <c r="G259" s="4">
        <v>0</v>
      </c>
      <c r="H259" s="4">
        <v>0</v>
      </c>
      <c r="I259" s="4">
        <v>0</v>
      </c>
      <c r="J259" s="4">
        <f>Table1[[#This Row],[Goals]]*1000 + Table1[[#This Row],[Assists]]</f>
        <v>0</v>
      </c>
    </row>
    <row r="260" spans="1:10" x14ac:dyDescent="0.25">
      <c r="A260" s="5">
        <v>46181</v>
      </c>
      <c r="B260" s="4" t="s">
        <v>100</v>
      </c>
      <c r="C260" s="4" t="s">
        <v>53</v>
      </c>
      <c r="D260" s="4">
        <v>1</v>
      </c>
      <c r="E260" s="4">
        <v>2</v>
      </c>
      <c r="F260" s="4">
        <v>1</v>
      </c>
      <c r="G260" s="4">
        <v>0</v>
      </c>
      <c r="H260" s="4">
        <v>0</v>
      </c>
      <c r="I260" s="4">
        <v>0</v>
      </c>
      <c r="J260" s="4">
        <f>Table1[[#This Row],[Goals]]*1000 + Table1[[#This Row],[Assists]]</f>
        <v>1002</v>
      </c>
    </row>
    <row r="261" spans="1:10" x14ac:dyDescent="0.25">
      <c r="A261" s="5">
        <v>46181</v>
      </c>
      <c r="B261" s="4" t="s">
        <v>100</v>
      </c>
      <c r="C261" s="4" t="s">
        <v>4</v>
      </c>
      <c r="D261" s="4">
        <v>1</v>
      </c>
      <c r="E261" s="4">
        <v>0</v>
      </c>
      <c r="F261" s="4">
        <v>1</v>
      </c>
      <c r="G261" s="4">
        <v>0</v>
      </c>
      <c r="H261" s="4">
        <v>0</v>
      </c>
      <c r="I261" s="4">
        <v>0</v>
      </c>
      <c r="J261" s="4">
        <f>Table1[[#This Row],[Goals]]*1000 + Table1[[#This Row],[Assists]]</f>
        <v>1000</v>
      </c>
    </row>
    <row r="262" spans="1:10" x14ac:dyDescent="0.25">
      <c r="A262" s="5">
        <v>46181</v>
      </c>
      <c r="B262" s="4" t="s">
        <v>100</v>
      </c>
      <c r="C262" s="4" t="s">
        <v>41</v>
      </c>
      <c r="D262" s="4">
        <v>1</v>
      </c>
      <c r="E262" s="4">
        <v>1</v>
      </c>
      <c r="F262" s="4">
        <v>1</v>
      </c>
      <c r="G262" s="4">
        <v>0</v>
      </c>
      <c r="H262" s="4">
        <v>0</v>
      </c>
      <c r="I262" s="4">
        <v>0</v>
      </c>
      <c r="J262" s="4">
        <f>Table1[[#This Row],[Goals]]*1000 + Table1[[#This Row],[Assists]]</f>
        <v>1001</v>
      </c>
    </row>
    <row r="263" spans="1:10" x14ac:dyDescent="0.25">
      <c r="A263" s="5">
        <v>46181</v>
      </c>
      <c r="B263" s="4" t="s">
        <v>100</v>
      </c>
      <c r="C263" s="4" t="s">
        <v>55</v>
      </c>
      <c r="D263" s="4">
        <v>3</v>
      </c>
      <c r="E263" s="4">
        <v>0</v>
      </c>
      <c r="F263" s="4">
        <v>1</v>
      </c>
      <c r="G263" s="4">
        <v>0</v>
      </c>
      <c r="H263" s="4">
        <v>0</v>
      </c>
      <c r="I263" s="4">
        <v>0</v>
      </c>
      <c r="J263" s="4">
        <f>Table1[[#This Row],[Goals]]*1000 + Table1[[#This Row],[Assists]]</f>
        <v>3000</v>
      </c>
    </row>
    <row r="264" spans="1:10" x14ac:dyDescent="0.25">
      <c r="A264" s="5">
        <v>46181</v>
      </c>
      <c r="B264" s="4" t="s">
        <v>100</v>
      </c>
      <c r="C264" s="4" t="s">
        <v>34</v>
      </c>
      <c r="D264" s="4">
        <v>3</v>
      </c>
      <c r="E264" s="4">
        <v>2</v>
      </c>
      <c r="F264" s="4">
        <v>1</v>
      </c>
      <c r="G264" s="4">
        <v>0</v>
      </c>
      <c r="H264" s="4">
        <v>0</v>
      </c>
      <c r="I264" s="4">
        <v>0</v>
      </c>
      <c r="J264" s="4">
        <f>Table1[[#This Row],[Goals]]*1000 + Table1[[#This Row],[Assists]]</f>
        <v>3002</v>
      </c>
    </row>
    <row r="265" spans="1:10" x14ac:dyDescent="0.25">
      <c r="A265" s="5">
        <v>46181</v>
      </c>
      <c r="B265" s="4" t="s">
        <v>100</v>
      </c>
      <c r="C265" s="4" t="s">
        <v>54</v>
      </c>
      <c r="D265" s="4">
        <v>0</v>
      </c>
      <c r="E265" s="4">
        <v>1</v>
      </c>
      <c r="F265" s="4">
        <v>0</v>
      </c>
      <c r="G265" s="4">
        <v>1</v>
      </c>
      <c r="H265" s="4">
        <v>0</v>
      </c>
      <c r="I265" s="4">
        <v>0</v>
      </c>
      <c r="J265" s="4">
        <f>Table1[[#This Row],[Goals]]*1000 + Table1[[#This Row],[Assists]]</f>
        <v>1</v>
      </c>
    </row>
    <row r="266" spans="1:10" x14ac:dyDescent="0.25">
      <c r="A266" s="5">
        <v>46181</v>
      </c>
      <c r="B266" s="4" t="s">
        <v>100</v>
      </c>
      <c r="C266" s="4" t="s">
        <v>62</v>
      </c>
      <c r="D266" s="4">
        <v>2</v>
      </c>
      <c r="E266" s="4">
        <v>0</v>
      </c>
      <c r="F266" s="4">
        <v>0</v>
      </c>
      <c r="G266" s="4">
        <v>1</v>
      </c>
      <c r="H266" s="4">
        <v>0</v>
      </c>
      <c r="I266" s="4">
        <v>0</v>
      </c>
      <c r="J266" s="4">
        <f>Table1[[#This Row],[Goals]]*1000 + Table1[[#This Row],[Assists]]</f>
        <v>2000</v>
      </c>
    </row>
    <row r="267" spans="1:10" x14ac:dyDescent="0.25">
      <c r="A267" s="5">
        <v>46181</v>
      </c>
      <c r="B267" s="4" t="s">
        <v>100</v>
      </c>
      <c r="C267" s="4" t="s">
        <v>46</v>
      </c>
      <c r="D267" s="4">
        <v>1</v>
      </c>
      <c r="E267" s="4">
        <v>0</v>
      </c>
      <c r="F267" s="4">
        <v>0</v>
      </c>
      <c r="G267" s="4">
        <v>1</v>
      </c>
      <c r="H267" s="4">
        <v>0</v>
      </c>
      <c r="I267" s="4">
        <v>0</v>
      </c>
      <c r="J267" s="4">
        <f>Table1[[#This Row],[Goals]]*1000 + Table1[[#This Row],[Assists]]</f>
        <v>1000</v>
      </c>
    </row>
    <row r="268" spans="1:10" x14ac:dyDescent="0.25">
      <c r="A268" s="5">
        <v>46181</v>
      </c>
      <c r="B268" s="4" t="s">
        <v>100</v>
      </c>
      <c r="C268" s="4" t="s">
        <v>33</v>
      </c>
      <c r="D268" s="4">
        <v>1</v>
      </c>
      <c r="E268" s="4">
        <v>1</v>
      </c>
      <c r="F268" s="4">
        <v>0</v>
      </c>
      <c r="G268" s="4">
        <v>1</v>
      </c>
      <c r="H268" s="4">
        <v>0</v>
      </c>
      <c r="I268" s="4">
        <v>0</v>
      </c>
      <c r="J268" s="4">
        <f>Table1[[#This Row],[Goals]]*1000 + Table1[[#This Row],[Assists]]</f>
        <v>1001</v>
      </c>
    </row>
    <row r="269" spans="1:10" x14ac:dyDescent="0.25">
      <c r="A269" s="5">
        <v>46181</v>
      </c>
      <c r="B269" s="4" t="s">
        <v>100</v>
      </c>
      <c r="C269" s="4" t="s">
        <v>52</v>
      </c>
      <c r="D269" s="4">
        <v>0</v>
      </c>
      <c r="E269" s="4">
        <v>0</v>
      </c>
      <c r="F269" s="4">
        <v>0</v>
      </c>
      <c r="G269" s="4">
        <v>1</v>
      </c>
      <c r="H269" s="4">
        <v>0</v>
      </c>
      <c r="I269" s="4">
        <v>0</v>
      </c>
      <c r="J269" s="4">
        <f>Table1[[#This Row],[Goals]]*1000 + Table1[[#This Row],[Assists]]</f>
        <v>0</v>
      </c>
    </row>
    <row r="270" spans="1:10" x14ac:dyDescent="0.25">
      <c r="A270" s="5">
        <v>46181</v>
      </c>
      <c r="B270" s="4" t="s">
        <v>100</v>
      </c>
      <c r="C270" s="4" t="s">
        <v>60</v>
      </c>
      <c r="D270" s="4">
        <v>2</v>
      </c>
      <c r="E270" s="4">
        <v>1</v>
      </c>
      <c r="F270" s="4">
        <v>0</v>
      </c>
      <c r="G270" s="4">
        <v>1</v>
      </c>
      <c r="H270" s="4">
        <v>0</v>
      </c>
      <c r="I270" s="4">
        <v>0</v>
      </c>
      <c r="J270" s="4">
        <f>Table1[[#This Row],[Goals]]*1000 + Table1[[#This Row],[Assists]]</f>
        <v>2001</v>
      </c>
    </row>
    <row r="271" spans="1:10" x14ac:dyDescent="0.25">
      <c r="A271" s="5">
        <v>46181</v>
      </c>
      <c r="B271" s="4" t="s">
        <v>100</v>
      </c>
      <c r="C271" s="4" t="s">
        <v>26</v>
      </c>
      <c r="D271" s="4">
        <v>0</v>
      </c>
      <c r="E271" s="4">
        <v>0</v>
      </c>
      <c r="F271" s="4">
        <v>0</v>
      </c>
      <c r="G271" s="4">
        <v>1</v>
      </c>
      <c r="H271" s="4">
        <v>0</v>
      </c>
      <c r="I271" s="4">
        <v>0</v>
      </c>
      <c r="J271" s="4">
        <f>Table1[[#This Row],[Goals]]*1000 + Table1[[#This Row],[Assists]]</f>
        <v>0</v>
      </c>
    </row>
    <row r="272" spans="1:10" x14ac:dyDescent="0.25">
      <c r="A272" s="5">
        <v>46188</v>
      </c>
      <c r="B272" s="4" t="s">
        <v>101</v>
      </c>
      <c r="C272" s="4" t="s">
        <v>56</v>
      </c>
      <c r="D272" s="4">
        <v>0</v>
      </c>
      <c r="E272" s="4">
        <v>0</v>
      </c>
      <c r="F272" s="4">
        <v>1</v>
      </c>
      <c r="G272" s="4">
        <v>0</v>
      </c>
      <c r="H272" s="4">
        <v>0</v>
      </c>
      <c r="I272" s="4">
        <v>0</v>
      </c>
      <c r="J272" s="19">
        <f>Table1[[#This Row],[Goals]]*1000 + Table1[[#This Row],[Assists]]</f>
        <v>0</v>
      </c>
    </row>
    <row r="273" spans="1:10" x14ac:dyDescent="0.25">
      <c r="A273" s="5">
        <v>46188</v>
      </c>
      <c r="B273" s="4" t="s">
        <v>101</v>
      </c>
      <c r="C273" s="4" t="s">
        <v>60</v>
      </c>
      <c r="D273" s="4">
        <v>0</v>
      </c>
      <c r="E273" s="4">
        <v>1</v>
      </c>
      <c r="F273" s="4">
        <v>1</v>
      </c>
      <c r="G273" s="4">
        <v>0</v>
      </c>
      <c r="H273" s="4">
        <v>0</v>
      </c>
      <c r="I273" s="4">
        <v>0</v>
      </c>
      <c r="J273" s="19">
        <f>Table1[[#This Row],[Goals]]*1000 + Table1[[#This Row],[Assists]]</f>
        <v>1</v>
      </c>
    </row>
    <row r="274" spans="1:10" x14ac:dyDescent="0.25">
      <c r="A274" s="5">
        <v>46188</v>
      </c>
      <c r="B274" s="4" t="s">
        <v>101</v>
      </c>
      <c r="C274" s="4" t="s">
        <v>54</v>
      </c>
      <c r="D274" s="4">
        <v>0</v>
      </c>
      <c r="E274" s="4">
        <v>1</v>
      </c>
      <c r="F274" s="4">
        <v>1</v>
      </c>
      <c r="G274" s="4">
        <v>0</v>
      </c>
      <c r="H274" s="4">
        <v>0</v>
      </c>
      <c r="I274" s="4">
        <v>0</v>
      </c>
      <c r="J274" s="19">
        <f>Table1[[#This Row],[Goals]]*1000 + Table1[[#This Row],[Assists]]</f>
        <v>1</v>
      </c>
    </row>
    <row r="275" spans="1:10" x14ac:dyDescent="0.25">
      <c r="A275" s="5">
        <v>46188</v>
      </c>
      <c r="B275" s="4" t="s">
        <v>101</v>
      </c>
      <c r="C275" s="4" t="s">
        <v>57</v>
      </c>
      <c r="D275" s="4">
        <v>0</v>
      </c>
      <c r="E275" s="4">
        <v>1</v>
      </c>
      <c r="F275" s="4">
        <v>1</v>
      </c>
      <c r="G275" s="4">
        <v>0</v>
      </c>
      <c r="H275" s="4">
        <v>0</v>
      </c>
      <c r="I275" s="4">
        <v>0</v>
      </c>
      <c r="J275" s="19">
        <f>Table1[[#This Row],[Goals]]*1000 + Table1[[#This Row],[Assists]]</f>
        <v>1</v>
      </c>
    </row>
    <row r="276" spans="1:10" x14ac:dyDescent="0.25">
      <c r="A276" s="5">
        <v>46188</v>
      </c>
      <c r="B276" s="4" t="s">
        <v>101</v>
      </c>
      <c r="C276" s="4" t="s">
        <v>11</v>
      </c>
      <c r="D276" s="4">
        <v>3</v>
      </c>
      <c r="E276" s="4">
        <v>0</v>
      </c>
      <c r="F276" s="4">
        <v>1</v>
      </c>
      <c r="G276" s="4">
        <v>0</v>
      </c>
      <c r="H276" s="4">
        <v>0</v>
      </c>
      <c r="I276" s="4">
        <v>0</v>
      </c>
      <c r="J276" s="19">
        <f>Table1[[#This Row],[Goals]]*1000 + Table1[[#This Row],[Assists]]</f>
        <v>3000</v>
      </c>
    </row>
    <row r="277" spans="1:10" x14ac:dyDescent="0.25">
      <c r="A277" s="5">
        <v>46188</v>
      </c>
      <c r="B277" s="4" t="s">
        <v>101</v>
      </c>
      <c r="C277" s="4" t="s">
        <v>33</v>
      </c>
      <c r="D277" s="4">
        <v>0</v>
      </c>
      <c r="E277" s="4">
        <v>0</v>
      </c>
      <c r="F277" s="4">
        <v>1</v>
      </c>
      <c r="G277" s="4">
        <v>0</v>
      </c>
      <c r="H277" s="4">
        <v>0</v>
      </c>
      <c r="I277" s="4">
        <v>0</v>
      </c>
      <c r="J277" s="19">
        <f>Table1[[#This Row],[Goals]]*1000 + Table1[[#This Row],[Assists]]</f>
        <v>0</v>
      </c>
    </row>
    <row r="278" spans="1:10" x14ac:dyDescent="0.25">
      <c r="A278" s="5">
        <v>46188</v>
      </c>
      <c r="B278" s="4" t="s">
        <v>101</v>
      </c>
      <c r="C278" s="4" t="s">
        <v>4</v>
      </c>
      <c r="D278" s="4">
        <v>0</v>
      </c>
      <c r="E278" s="4">
        <v>0</v>
      </c>
      <c r="F278" s="4">
        <v>1</v>
      </c>
      <c r="G278" s="4">
        <v>0</v>
      </c>
      <c r="H278" s="4">
        <v>0</v>
      </c>
      <c r="I278" s="4">
        <v>0</v>
      </c>
      <c r="J278" s="19">
        <f>Table1[[#This Row],[Goals]]*1000 + Table1[[#This Row],[Assists]]</f>
        <v>0</v>
      </c>
    </row>
    <row r="279" spans="1:10" x14ac:dyDescent="0.25">
      <c r="A279" s="5">
        <v>46188</v>
      </c>
      <c r="B279" s="4" t="s">
        <v>101</v>
      </c>
      <c r="C279" s="4" t="s">
        <v>93</v>
      </c>
      <c r="D279" s="4">
        <v>0</v>
      </c>
      <c r="E279" s="4">
        <v>0</v>
      </c>
      <c r="F279" s="4">
        <v>0</v>
      </c>
      <c r="G279" s="4">
        <v>1</v>
      </c>
      <c r="H279" s="4">
        <v>0</v>
      </c>
      <c r="I279" s="4">
        <v>0</v>
      </c>
      <c r="J279" s="19">
        <f>Table1[[#This Row],[Goals]]*1000 + Table1[[#This Row],[Assists]]</f>
        <v>0</v>
      </c>
    </row>
    <row r="280" spans="1:10" x14ac:dyDescent="0.25">
      <c r="A280" s="5">
        <v>46188</v>
      </c>
      <c r="B280" s="4" t="s">
        <v>101</v>
      </c>
      <c r="C280" s="4" t="s">
        <v>55</v>
      </c>
      <c r="D280" s="4">
        <v>1</v>
      </c>
      <c r="E280" s="4">
        <v>1</v>
      </c>
      <c r="F280" s="4">
        <v>0</v>
      </c>
      <c r="G280" s="4">
        <v>1</v>
      </c>
      <c r="H280" s="4">
        <v>0</v>
      </c>
      <c r="I280" s="4">
        <v>0</v>
      </c>
      <c r="J280" s="19">
        <f>Table1[[#This Row],[Goals]]*1000 + Table1[[#This Row],[Assists]]</f>
        <v>1001</v>
      </c>
    </row>
    <row r="281" spans="1:10" x14ac:dyDescent="0.25">
      <c r="A281" s="5">
        <v>46188</v>
      </c>
      <c r="B281" s="4" t="s">
        <v>101</v>
      </c>
      <c r="C281" s="4" t="s">
        <v>63</v>
      </c>
      <c r="D281" s="4">
        <v>0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19">
        <f>Table1[[#This Row],[Goals]]*1000 + Table1[[#This Row],[Assists]]</f>
        <v>0</v>
      </c>
    </row>
    <row r="282" spans="1:10" x14ac:dyDescent="0.25">
      <c r="A282" s="5">
        <v>46188</v>
      </c>
      <c r="B282" s="4" t="s">
        <v>101</v>
      </c>
      <c r="C282" s="4" t="s">
        <v>58</v>
      </c>
      <c r="D282" s="4">
        <v>1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19">
        <f>Table1[[#This Row],[Goals]]*1000 + Table1[[#This Row],[Assists]]</f>
        <v>1000</v>
      </c>
    </row>
    <row r="283" spans="1:10" x14ac:dyDescent="0.25">
      <c r="A283" s="5">
        <v>46188</v>
      </c>
      <c r="B283" s="4" t="s">
        <v>101</v>
      </c>
      <c r="C283" s="4" t="s">
        <v>61</v>
      </c>
      <c r="D283" s="4">
        <v>0</v>
      </c>
      <c r="E283" s="4">
        <v>0</v>
      </c>
      <c r="F283" s="4">
        <v>0</v>
      </c>
      <c r="G283" s="4">
        <v>1</v>
      </c>
      <c r="H283" s="4">
        <v>0</v>
      </c>
      <c r="I283" s="4">
        <v>0</v>
      </c>
      <c r="J283" s="19">
        <f>Table1[[#This Row],[Goals]]*1000 + Table1[[#This Row],[Assists]]</f>
        <v>0</v>
      </c>
    </row>
    <row r="284" spans="1:10" x14ac:dyDescent="0.25">
      <c r="A284" s="5">
        <v>46188</v>
      </c>
      <c r="B284" s="4" t="s">
        <v>101</v>
      </c>
      <c r="C284" s="4" t="s">
        <v>53</v>
      </c>
      <c r="D284" s="4">
        <v>0</v>
      </c>
      <c r="E284" s="4">
        <v>1</v>
      </c>
      <c r="F284" s="4">
        <v>0</v>
      </c>
      <c r="G284" s="4">
        <v>1</v>
      </c>
      <c r="H284" s="4">
        <v>0</v>
      </c>
      <c r="I284" s="4">
        <v>0</v>
      </c>
      <c r="J284" s="19">
        <f>Table1[[#This Row],[Goals]]*1000 + Table1[[#This Row],[Assists]]</f>
        <v>1</v>
      </c>
    </row>
    <row r="285" spans="1:10" x14ac:dyDescent="0.25">
      <c r="A285" s="5">
        <v>46188</v>
      </c>
      <c r="B285" s="4" t="s">
        <v>101</v>
      </c>
      <c r="C285" s="4" t="s">
        <v>62</v>
      </c>
      <c r="D285" s="4">
        <v>0</v>
      </c>
      <c r="E285" s="4">
        <v>0</v>
      </c>
      <c r="F285" s="4">
        <v>0</v>
      </c>
      <c r="G285" s="4">
        <v>1</v>
      </c>
      <c r="H285" s="4">
        <v>0</v>
      </c>
      <c r="I285" s="4">
        <v>0</v>
      </c>
      <c r="J285" s="19">
        <f>Table1[[#This Row],[Goals]]*1000 + Table1[[#This Row],[Assists]]</f>
        <v>0</v>
      </c>
    </row>
  </sheetData>
  <dataValidations count="1">
    <dataValidation type="list" errorStyle="warning" allowBlank="1" showInputMessage="1" showErrorMessage="1" errorTitle="Jogador não encontrado" error="Este nome não está na lista. Adicione primeiro na aba 'Jogadores'." promptTitle="Selecione o jogador" prompt="Escolha da lista ou adicione novo jogador na aba 'Jogadores'." sqref="C2:C246 C248:C498" xr:uid="{32A9D6C5-6935-4154-BD6F-CA732AE31C4C}">
      <formula1>ListaJogadores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7B7A-3481-49A9-B45E-354C0101B6C3}">
  <dimension ref="A1:I40"/>
  <sheetViews>
    <sheetView zoomScaleNormal="100" workbookViewId="0">
      <selection activeCell="E19" sqref="E19"/>
    </sheetView>
  </sheetViews>
  <sheetFormatPr defaultRowHeight="15" x14ac:dyDescent="0.25"/>
  <cols>
    <col min="1" max="1" width="27.42578125" style="1" customWidth="1"/>
    <col min="2" max="2" width="13.42578125" style="1" bestFit="1" customWidth="1"/>
    <col min="3" max="3" width="7.85546875" style="1" bestFit="1" customWidth="1"/>
    <col min="4" max="5" width="8.5703125" style="1" bestFit="1" customWidth="1"/>
    <col min="6" max="6" width="11.7109375" style="1" bestFit="1" customWidth="1"/>
    <col min="7" max="7" width="15" style="1" customWidth="1"/>
    <col min="8" max="8" width="11.7109375" style="1" bestFit="1" customWidth="1"/>
    <col min="9" max="9" width="13.85546875" style="1" bestFit="1" customWidth="1"/>
    <col min="10" max="16384" width="9.140625" style="1"/>
  </cols>
  <sheetData>
    <row r="1" spans="1:9" x14ac:dyDescent="0.25">
      <c r="A1" s="2" t="s">
        <v>0</v>
      </c>
      <c r="B1" s="3" t="s">
        <v>15</v>
      </c>
    </row>
    <row r="3" spans="1:9" x14ac:dyDescent="0.25">
      <c r="A3" s="2" t="s">
        <v>24</v>
      </c>
      <c r="B3" s="3" t="s">
        <v>21</v>
      </c>
      <c r="C3" s="3" t="s">
        <v>18</v>
      </c>
      <c r="D3" s="3" t="s">
        <v>19</v>
      </c>
      <c r="E3" s="3" t="s">
        <v>20</v>
      </c>
      <c r="F3" s="3" t="s">
        <v>36</v>
      </c>
      <c r="G3" s="3" t="s">
        <v>22</v>
      </c>
      <c r="H3" s="3" t="s">
        <v>23</v>
      </c>
      <c r="I3" s="3" t="s">
        <v>30</v>
      </c>
    </row>
    <row r="4" spans="1:9" x14ac:dyDescent="0.25">
      <c r="A4" s="3" t="s">
        <v>54</v>
      </c>
      <c r="B4" s="20">
        <v>18</v>
      </c>
      <c r="C4" s="20">
        <v>7</v>
      </c>
      <c r="D4" s="20">
        <v>8</v>
      </c>
      <c r="E4" s="20">
        <v>2</v>
      </c>
      <c r="F4" s="20">
        <v>1</v>
      </c>
      <c r="G4" s="20">
        <v>5</v>
      </c>
      <c r="H4" s="20">
        <v>5</v>
      </c>
      <c r="I4" s="20">
        <v>5005</v>
      </c>
    </row>
    <row r="5" spans="1:9" x14ac:dyDescent="0.25">
      <c r="A5" s="3" t="s">
        <v>40</v>
      </c>
      <c r="B5" s="20">
        <v>18</v>
      </c>
      <c r="C5" s="20">
        <v>7</v>
      </c>
      <c r="D5" s="20">
        <v>7</v>
      </c>
      <c r="E5" s="20">
        <v>3</v>
      </c>
      <c r="F5" s="20">
        <v>1</v>
      </c>
      <c r="G5" s="20">
        <v>17</v>
      </c>
      <c r="H5" s="20">
        <v>24</v>
      </c>
      <c r="I5" s="20">
        <v>17024</v>
      </c>
    </row>
    <row r="6" spans="1:9" x14ac:dyDescent="0.25">
      <c r="A6" s="3" t="s">
        <v>41</v>
      </c>
      <c r="B6" s="20">
        <v>17</v>
      </c>
      <c r="C6" s="20">
        <v>9</v>
      </c>
      <c r="D6" s="20">
        <v>4</v>
      </c>
      <c r="E6" s="20">
        <v>3</v>
      </c>
      <c r="F6" s="20">
        <v>1</v>
      </c>
      <c r="G6" s="20">
        <v>18</v>
      </c>
      <c r="H6" s="20">
        <v>21</v>
      </c>
      <c r="I6" s="20">
        <v>18021</v>
      </c>
    </row>
    <row r="7" spans="1:9" x14ac:dyDescent="0.25">
      <c r="A7" s="3" t="s">
        <v>55</v>
      </c>
      <c r="B7" s="20">
        <v>17</v>
      </c>
      <c r="C7" s="20">
        <v>6</v>
      </c>
      <c r="D7" s="20">
        <v>8</v>
      </c>
      <c r="E7" s="20">
        <v>2</v>
      </c>
      <c r="F7" s="20">
        <v>1</v>
      </c>
      <c r="G7" s="20">
        <v>18</v>
      </c>
      <c r="H7" s="20">
        <v>14</v>
      </c>
      <c r="I7" s="20">
        <v>18014</v>
      </c>
    </row>
    <row r="8" spans="1:9" x14ac:dyDescent="0.25">
      <c r="A8" s="3" t="s">
        <v>57</v>
      </c>
      <c r="B8" s="20">
        <v>17</v>
      </c>
      <c r="C8" s="20">
        <v>5</v>
      </c>
      <c r="D8" s="20">
        <v>9</v>
      </c>
      <c r="E8" s="20">
        <v>2</v>
      </c>
      <c r="F8" s="20">
        <v>1</v>
      </c>
      <c r="G8" s="20">
        <v>11</v>
      </c>
      <c r="H8" s="20">
        <v>11</v>
      </c>
      <c r="I8" s="20">
        <v>11011</v>
      </c>
    </row>
    <row r="9" spans="1:9" x14ac:dyDescent="0.25">
      <c r="A9" s="3" t="s">
        <v>53</v>
      </c>
      <c r="B9" s="20">
        <v>16</v>
      </c>
      <c r="C9" s="20">
        <v>7</v>
      </c>
      <c r="D9" s="20">
        <v>5</v>
      </c>
      <c r="E9" s="20">
        <v>3</v>
      </c>
      <c r="F9" s="20">
        <v>1</v>
      </c>
      <c r="G9" s="20">
        <v>4</v>
      </c>
      <c r="H9" s="20">
        <v>8</v>
      </c>
      <c r="I9" s="20">
        <v>4008</v>
      </c>
    </row>
    <row r="10" spans="1:9" x14ac:dyDescent="0.25">
      <c r="A10" s="3" t="s">
        <v>43</v>
      </c>
      <c r="B10" s="20">
        <v>15</v>
      </c>
      <c r="C10" s="20">
        <v>6</v>
      </c>
      <c r="D10" s="20">
        <v>5</v>
      </c>
      <c r="E10" s="20">
        <v>3</v>
      </c>
      <c r="F10" s="20">
        <v>1</v>
      </c>
      <c r="G10" s="20">
        <v>11</v>
      </c>
      <c r="H10" s="20">
        <v>5</v>
      </c>
      <c r="I10" s="20">
        <v>11005</v>
      </c>
    </row>
    <row r="11" spans="1:9" x14ac:dyDescent="0.25">
      <c r="A11" s="3" t="s">
        <v>33</v>
      </c>
      <c r="B11" s="20">
        <v>15</v>
      </c>
      <c r="C11" s="20">
        <v>6</v>
      </c>
      <c r="D11" s="20">
        <v>6</v>
      </c>
      <c r="E11" s="20">
        <v>2</v>
      </c>
      <c r="F11" s="20">
        <v>1</v>
      </c>
      <c r="G11" s="20">
        <v>11</v>
      </c>
      <c r="H11" s="20">
        <v>10</v>
      </c>
      <c r="I11" s="20">
        <v>11010</v>
      </c>
    </row>
    <row r="12" spans="1:9" x14ac:dyDescent="0.25">
      <c r="A12" s="3" t="s">
        <v>42</v>
      </c>
      <c r="B12" s="20">
        <v>15</v>
      </c>
      <c r="C12" s="20">
        <v>5</v>
      </c>
      <c r="D12" s="20">
        <v>7</v>
      </c>
      <c r="E12" s="20">
        <v>2</v>
      </c>
      <c r="F12" s="20">
        <v>1</v>
      </c>
      <c r="G12" s="20">
        <v>18</v>
      </c>
      <c r="H12" s="20">
        <v>7</v>
      </c>
      <c r="I12" s="20">
        <v>18007</v>
      </c>
    </row>
    <row r="13" spans="1:9" x14ac:dyDescent="0.25">
      <c r="A13" s="3" t="s">
        <v>62</v>
      </c>
      <c r="B13" s="20">
        <v>14</v>
      </c>
      <c r="C13" s="20">
        <v>7</v>
      </c>
      <c r="D13" s="20">
        <v>5</v>
      </c>
      <c r="E13" s="20">
        <v>1</v>
      </c>
      <c r="F13" s="20">
        <v>1</v>
      </c>
      <c r="G13" s="20">
        <v>15</v>
      </c>
      <c r="H13" s="20">
        <v>6</v>
      </c>
      <c r="I13" s="20">
        <v>15006</v>
      </c>
    </row>
    <row r="14" spans="1:9" x14ac:dyDescent="0.25">
      <c r="A14" s="3" t="s">
        <v>61</v>
      </c>
      <c r="B14" s="20">
        <v>13</v>
      </c>
      <c r="C14" s="20">
        <v>6</v>
      </c>
      <c r="D14" s="20">
        <v>3</v>
      </c>
      <c r="E14" s="20">
        <v>3</v>
      </c>
      <c r="F14" s="20">
        <v>1</v>
      </c>
      <c r="G14" s="20">
        <v>5</v>
      </c>
      <c r="H14" s="20">
        <v>5</v>
      </c>
      <c r="I14" s="20">
        <v>5005</v>
      </c>
    </row>
    <row r="15" spans="1:9" x14ac:dyDescent="0.25">
      <c r="A15" s="3" t="s">
        <v>56</v>
      </c>
      <c r="B15" s="20">
        <v>12</v>
      </c>
      <c r="C15" s="20">
        <v>4</v>
      </c>
      <c r="D15" s="20">
        <v>6</v>
      </c>
      <c r="E15" s="20">
        <v>1</v>
      </c>
      <c r="F15" s="20">
        <v>1</v>
      </c>
      <c r="G15" s="20">
        <v>1</v>
      </c>
      <c r="H15" s="20">
        <v>2</v>
      </c>
      <c r="I15" s="20">
        <v>1002</v>
      </c>
    </row>
    <row r="16" spans="1:9" x14ac:dyDescent="0.25">
      <c r="A16" s="3" t="s">
        <v>11</v>
      </c>
      <c r="B16" s="20">
        <v>11</v>
      </c>
      <c r="C16" s="20">
        <v>5</v>
      </c>
      <c r="D16" s="20">
        <v>4</v>
      </c>
      <c r="E16" s="20">
        <v>1</v>
      </c>
      <c r="F16" s="20">
        <v>1</v>
      </c>
      <c r="G16" s="20">
        <v>33</v>
      </c>
      <c r="H16" s="20">
        <v>11</v>
      </c>
      <c r="I16" s="20">
        <v>33011</v>
      </c>
    </row>
    <row r="17" spans="1:9" x14ac:dyDescent="0.25">
      <c r="A17" s="3" t="s">
        <v>4</v>
      </c>
      <c r="B17" s="20">
        <v>10</v>
      </c>
      <c r="C17" s="20">
        <v>3</v>
      </c>
      <c r="D17" s="20">
        <v>5</v>
      </c>
      <c r="E17" s="20">
        <v>2</v>
      </c>
      <c r="F17" s="20">
        <v>0</v>
      </c>
      <c r="G17" s="20">
        <v>2</v>
      </c>
      <c r="H17" s="20">
        <v>4</v>
      </c>
      <c r="I17" s="20">
        <v>2004</v>
      </c>
    </row>
    <row r="18" spans="1:9" x14ac:dyDescent="0.25">
      <c r="A18" s="3" t="s">
        <v>63</v>
      </c>
      <c r="B18" s="20">
        <v>9</v>
      </c>
      <c r="C18" s="20">
        <v>1</v>
      </c>
      <c r="D18" s="20">
        <v>6</v>
      </c>
      <c r="E18" s="20">
        <v>1</v>
      </c>
      <c r="F18" s="20">
        <v>1</v>
      </c>
      <c r="G18" s="20">
        <v>8</v>
      </c>
      <c r="H18" s="20">
        <v>5</v>
      </c>
      <c r="I18" s="20">
        <v>8005</v>
      </c>
    </row>
    <row r="19" spans="1:9" x14ac:dyDescent="0.25">
      <c r="A19" s="3" t="s">
        <v>58</v>
      </c>
      <c r="B19" s="20">
        <v>7</v>
      </c>
      <c r="C19" s="20">
        <v>1</v>
      </c>
      <c r="D19" s="20">
        <v>4</v>
      </c>
      <c r="E19" s="20">
        <v>1</v>
      </c>
      <c r="F19" s="20">
        <v>1</v>
      </c>
      <c r="G19" s="20">
        <v>5</v>
      </c>
      <c r="H19" s="20">
        <v>3</v>
      </c>
      <c r="I19" s="20">
        <v>5003</v>
      </c>
    </row>
    <row r="20" spans="1:9" x14ac:dyDescent="0.25">
      <c r="A20" s="3" t="s">
        <v>64</v>
      </c>
      <c r="B20" s="20">
        <v>7</v>
      </c>
      <c r="C20" s="20">
        <v>2</v>
      </c>
      <c r="D20" s="20">
        <v>3</v>
      </c>
      <c r="E20" s="20">
        <v>1</v>
      </c>
      <c r="F20" s="20">
        <v>1</v>
      </c>
      <c r="G20" s="20">
        <v>13</v>
      </c>
      <c r="H20" s="20">
        <v>7</v>
      </c>
      <c r="I20" s="20">
        <v>13007</v>
      </c>
    </row>
    <row r="21" spans="1:9" x14ac:dyDescent="0.25">
      <c r="A21" s="3" t="s">
        <v>46</v>
      </c>
      <c r="B21" s="20">
        <v>7</v>
      </c>
      <c r="C21" s="20">
        <v>2</v>
      </c>
      <c r="D21" s="20">
        <v>3</v>
      </c>
      <c r="E21" s="20">
        <v>2</v>
      </c>
      <c r="F21" s="20">
        <v>0</v>
      </c>
      <c r="G21" s="20">
        <v>3</v>
      </c>
      <c r="H21" s="20">
        <v>2</v>
      </c>
      <c r="I21" s="20">
        <v>3002</v>
      </c>
    </row>
    <row r="22" spans="1:9" x14ac:dyDescent="0.25">
      <c r="A22" s="3" t="s">
        <v>26</v>
      </c>
      <c r="B22" s="20">
        <v>7</v>
      </c>
      <c r="C22" s="20">
        <v>4</v>
      </c>
      <c r="D22" s="20">
        <v>1</v>
      </c>
      <c r="E22" s="20">
        <v>1</v>
      </c>
      <c r="F22" s="20">
        <v>1</v>
      </c>
      <c r="G22" s="20">
        <v>4</v>
      </c>
      <c r="H22" s="20">
        <v>3</v>
      </c>
      <c r="I22" s="20">
        <v>4003</v>
      </c>
    </row>
    <row r="23" spans="1:9" x14ac:dyDescent="0.25">
      <c r="A23" s="3" t="s">
        <v>28</v>
      </c>
      <c r="B23" s="20">
        <v>6</v>
      </c>
      <c r="C23" s="20">
        <v>4</v>
      </c>
      <c r="D23" s="20">
        <v>0</v>
      </c>
      <c r="E23" s="20">
        <v>1</v>
      </c>
      <c r="F23" s="20">
        <v>1</v>
      </c>
      <c r="G23" s="20">
        <v>5</v>
      </c>
      <c r="H23" s="20">
        <v>0</v>
      </c>
      <c r="I23" s="20">
        <v>5000</v>
      </c>
    </row>
    <row r="24" spans="1:9" x14ac:dyDescent="0.25">
      <c r="A24" s="3" t="s">
        <v>12</v>
      </c>
      <c r="B24" s="20">
        <v>5</v>
      </c>
      <c r="C24" s="20">
        <v>2</v>
      </c>
      <c r="D24" s="20">
        <v>1</v>
      </c>
      <c r="E24" s="20">
        <v>2</v>
      </c>
      <c r="F24" s="20">
        <v>0</v>
      </c>
      <c r="G24" s="20">
        <v>0</v>
      </c>
      <c r="H24" s="20">
        <v>0</v>
      </c>
      <c r="I24" s="20">
        <v>0</v>
      </c>
    </row>
    <row r="25" spans="1:9" x14ac:dyDescent="0.25">
      <c r="A25" s="3" t="s">
        <v>34</v>
      </c>
      <c r="B25" s="20">
        <v>5</v>
      </c>
      <c r="C25" s="20">
        <v>3</v>
      </c>
      <c r="D25" s="20">
        <v>1</v>
      </c>
      <c r="E25" s="20">
        <v>0</v>
      </c>
      <c r="F25" s="20">
        <v>1</v>
      </c>
      <c r="G25" s="20">
        <v>5</v>
      </c>
      <c r="H25" s="20">
        <v>2</v>
      </c>
      <c r="I25" s="20">
        <v>5002</v>
      </c>
    </row>
    <row r="26" spans="1:9" x14ac:dyDescent="0.25">
      <c r="A26" s="3" t="s">
        <v>60</v>
      </c>
      <c r="B26" s="20">
        <v>4</v>
      </c>
      <c r="C26" s="20">
        <v>3</v>
      </c>
      <c r="D26" s="20">
        <v>1</v>
      </c>
      <c r="E26" s="20">
        <v>0</v>
      </c>
      <c r="F26" s="20">
        <v>0</v>
      </c>
      <c r="G26" s="20">
        <v>2</v>
      </c>
      <c r="H26" s="20">
        <v>3</v>
      </c>
      <c r="I26" s="20">
        <v>2003</v>
      </c>
    </row>
    <row r="27" spans="1:9" x14ac:dyDescent="0.25">
      <c r="A27" s="3" t="s">
        <v>39</v>
      </c>
      <c r="B27" s="20">
        <v>3</v>
      </c>
      <c r="C27" s="20">
        <v>1</v>
      </c>
      <c r="D27" s="20">
        <v>1</v>
      </c>
      <c r="E27" s="20">
        <v>0</v>
      </c>
      <c r="F27" s="20">
        <v>1</v>
      </c>
      <c r="G27" s="20">
        <v>0</v>
      </c>
      <c r="H27" s="20">
        <v>0</v>
      </c>
      <c r="I27" s="20">
        <v>0</v>
      </c>
    </row>
    <row r="28" spans="1:9" x14ac:dyDescent="0.25">
      <c r="A28" s="3" t="s">
        <v>52</v>
      </c>
      <c r="B28" s="20">
        <v>3</v>
      </c>
      <c r="C28" s="20">
        <v>1</v>
      </c>
      <c r="D28" s="20">
        <v>2</v>
      </c>
      <c r="E28" s="20">
        <v>0</v>
      </c>
      <c r="F28" s="20">
        <v>0</v>
      </c>
      <c r="G28" s="20">
        <v>2</v>
      </c>
      <c r="H28" s="20">
        <v>1</v>
      </c>
      <c r="I28" s="20">
        <v>2001</v>
      </c>
    </row>
    <row r="29" spans="1:9" x14ac:dyDescent="0.25">
      <c r="A29" s="3" t="s">
        <v>93</v>
      </c>
      <c r="B29" s="20">
        <v>3</v>
      </c>
      <c r="C29" s="20">
        <v>1</v>
      </c>
      <c r="D29" s="20">
        <v>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</row>
    <row r="30" spans="1:9" x14ac:dyDescent="0.25">
      <c r="A30" s="3" t="s">
        <v>6</v>
      </c>
      <c r="B30" s="20">
        <v>2</v>
      </c>
      <c r="C30" s="20">
        <v>0</v>
      </c>
      <c r="D30" s="20">
        <v>1</v>
      </c>
      <c r="E30" s="20">
        <v>1</v>
      </c>
      <c r="F30" s="20">
        <v>0</v>
      </c>
      <c r="G30" s="20">
        <v>1</v>
      </c>
      <c r="H30" s="20">
        <v>0</v>
      </c>
      <c r="I30" s="20">
        <v>1000</v>
      </c>
    </row>
    <row r="31" spans="1:9" x14ac:dyDescent="0.25">
      <c r="A31" s="3" t="s">
        <v>7</v>
      </c>
      <c r="B31" s="20">
        <v>2</v>
      </c>
      <c r="C31" s="20">
        <v>1</v>
      </c>
      <c r="D31" s="20">
        <v>1</v>
      </c>
      <c r="E31" s="20">
        <v>0</v>
      </c>
      <c r="F31" s="20">
        <v>0</v>
      </c>
      <c r="G31" s="20">
        <v>1</v>
      </c>
      <c r="H31" s="20">
        <v>0</v>
      </c>
      <c r="I31" s="20">
        <v>1000</v>
      </c>
    </row>
    <row r="32" spans="1:9" x14ac:dyDescent="0.25">
      <c r="A32" s="3" t="s">
        <v>49</v>
      </c>
      <c r="B32" s="20">
        <v>2</v>
      </c>
      <c r="C32" s="20">
        <v>2</v>
      </c>
      <c r="D32" s="20">
        <v>0</v>
      </c>
      <c r="E32" s="20">
        <v>0</v>
      </c>
      <c r="F32" s="20">
        <v>0</v>
      </c>
      <c r="G32" s="20">
        <v>2</v>
      </c>
      <c r="H32" s="20">
        <v>1</v>
      </c>
      <c r="I32" s="20">
        <v>2001</v>
      </c>
    </row>
    <row r="33" spans="1:9" x14ac:dyDescent="0.25">
      <c r="A33" s="3" t="s">
        <v>59</v>
      </c>
      <c r="B33" s="20">
        <v>1</v>
      </c>
      <c r="C33" s="20">
        <v>0</v>
      </c>
      <c r="D33" s="20">
        <v>1</v>
      </c>
      <c r="E33" s="20">
        <v>0</v>
      </c>
      <c r="F33" s="20">
        <v>0</v>
      </c>
      <c r="G33" s="20">
        <v>1</v>
      </c>
      <c r="H33" s="20">
        <v>0</v>
      </c>
      <c r="I33" s="20">
        <v>1000</v>
      </c>
    </row>
    <row r="34" spans="1:9" x14ac:dyDescent="0.25">
      <c r="A34" s="3" t="s">
        <v>65</v>
      </c>
      <c r="B34" s="20">
        <v>1</v>
      </c>
      <c r="C34" s="20">
        <v>0</v>
      </c>
      <c r="D34" s="20">
        <v>1</v>
      </c>
      <c r="E34" s="20">
        <v>0</v>
      </c>
      <c r="F34" s="20">
        <v>0</v>
      </c>
      <c r="G34" s="20">
        <v>1</v>
      </c>
      <c r="H34" s="20">
        <v>1</v>
      </c>
      <c r="I34" s="20">
        <v>1001</v>
      </c>
    </row>
    <row r="35" spans="1:9" x14ac:dyDescent="0.25">
      <c r="A35" s="3" t="s">
        <v>5</v>
      </c>
      <c r="B35" s="20">
        <v>1</v>
      </c>
      <c r="C35" s="20">
        <v>0</v>
      </c>
      <c r="D35" s="20">
        <v>1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</row>
    <row r="36" spans="1:9" x14ac:dyDescent="0.25">
      <c r="A36" s="3" t="s">
        <v>44</v>
      </c>
      <c r="B36" s="20">
        <v>1</v>
      </c>
      <c r="C36" s="20">
        <v>1</v>
      </c>
      <c r="D36" s="20">
        <v>0</v>
      </c>
      <c r="E36" s="20">
        <v>0</v>
      </c>
      <c r="F36" s="20">
        <v>0</v>
      </c>
      <c r="G36" s="20">
        <v>2</v>
      </c>
      <c r="H36" s="20">
        <v>0</v>
      </c>
      <c r="I36" s="20">
        <v>2000</v>
      </c>
    </row>
    <row r="37" spans="1:9" x14ac:dyDescent="0.25">
      <c r="A37" s="3" t="s">
        <v>14</v>
      </c>
      <c r="B37" s="20">
        <v>284</v>
      </c>
      <c r="C37" s="20">
        <v>112</v>
      </c>
      <c r="D37" s="20">
        <v>112</v>
      </c>
      <c r="E37" s="20">
        <v>40</v>
      </c>
      <c r="F37" s="20">
        <v>20</v>
      </c>
      <c r="G37" s="20">
        <v>224</v>
      </c>
      <c r="H37" s="20">
        <v>161</v>
      </c>
      <c r="I37" s="20">
        <v>224161</v>
      </c>
    </row>
    <row r="38" spans="1:9" x14ac:dyDescent="0.25">
      <c r="A38"/>
      <c r="B38"/>
      <c r="C38"/>
      <c r="D38"/>
      <c r="E38"/>
      <c r="F38"/>
      <c r="G38"/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/>
      <c r="B40"/>
      <c r="C40"/>
      <c r="D40"/>
      <c r="E40"/>
      <c r="F40"/>
      <c r="G40"/>
      <c r="H40"/>
      <c r="I40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2708-D390-499A-9614-C89EB8A8B732}">
  <dimension ref="A1:D35"/>
  <sheetViews>
    <sheetView workbookViewId="0">
      <selection activeCell="H20" sqref="H20"/>
    </sheetView>
  </sheetViews>
  <sheetFormatPr defaultRowHeight="15" x14ac:dyDescent="0.25"/>
  <cols>
    <col min="1" max="1" width="32.85546875" customWidth="1"/>
    <col min="2" max="2" width="19.7109375" customWidth="1"/>
    <col min="3" max="3" width="11.7109375" bestFit="1" customWidth="1"/>
    <col min="4" max="4" width="13.85546875" bestFit="1" customWidth="1"/>
  </cols>
  <sheetData>
    <row r="1" spans="1:4" x14ac:dyDescent="0.25">
      <c r="A1" s="2" t="s">
        <v>24</v>
      </c>
      <c r="B1" s="3" t="s">
        <v>22</v>
      </c>
      <c r="C1" s="3" t="s">
        <v>23</v>
      </c>
      <c r="D1" s="3" t="s">
        <v>30</v>
      </c>
    </row>
    <row r="2" spans="1:4" x14ac:dyDescent="0.25">
      <c r="A2" s="3" t="s">
        <v>11</v>
      </c>
      <c r="B2" s="20">
        <v>33</v>
      </c>
      <c r="C2" s="20">
        <v>11</v>
      </c>
      <c r="D2" s="20">
        <v>33011</v>
      </c>
    </row>
    <row r="3" spans="1:4" x14ac:dyDescent="0.25">
      <c r="A3" s="3" t="s">
        <v>41</v>
      </c>
      <c r="B3" s="20">
        <v>18</v>
      </c>
      <c r="C3" s="20">
        <v>21</v>
      </c>
      <c r="D3" s="20">
        <v>18021</v>
      </c>
    </row>
    <row r="4" spans="1:4" x14ac:dyDescent="0.25">
      <c r="A4" s="3" t="s">
        <v>55</v>
      </c>
      <c r="B4" s="20">
        <v>18</v>
      </c>
      <c r="C4" s="20">
        <v>14</v>
      </c>
      <c r="D4" s="20">
        <v>18014</v>
      </c>
    </row>
    <row r="5" spans="1:4" x14ac:dyDescent="0.25">
      <c r="A5" s="3" t="s">
        <v>42</v>
      </c>
      <c r="B5" s="20">
        <v>18</v>
      </c>
      <c r="C5" s="20">
        <v>7</v>
      </c>
      <c r="D5" s="20">
        <v>18007</v>
      </c>
    </row>
    <row r="6" spans="1:4" x14ac:dyDescent="0.25">
      <c r="A6" s="3" t="s">
        <v>40</v>
      </c>
      <c r="B6" s="20">
        <v>17</v>
      </c>
      <c r="C6" s="20">
        <v>24</v>
      </c>
      <c r="D6" s="20">
        <v>17024</v>
      </c>
    </row>
    <row r="7" spans="1:4" x14ac:dyDescent="0.25">
      <c r="A7" s="3" t="s">
        <v>62</v>
      </c>
      <c r="B7" s="20">
        <v>15</v>
      </c>
      <c r="C7" s="20">
        <v>6</v>
      </c>
      <c r="D7" s="20">
        <v>15006</v>
      </c>
    </row>
    <row r="8" spans="1:4" x14ac:dyDescent="0.25">
      <c r="A8" s="3" t="s">
        <v>64</v>
      </c>
      <c r="B8" s="20">
        <v>13</v>
      </c>
      <c r="C8" s="20">
        <v>7</v>
      </c>
      <c r="D8" s="20">
        <v>13007</v>
      </c>
    </row>
    <row r="9" spans="1:4" x14ac:dyDescent="0.25">
      <c r="A9" s="3" t="s">
        <v>57</v>
      </c>
      <c r="B9" s="20">
        <v>11</v>
      </c>
      <c r="C9" s="20">
        <v>11</v>
      </c>
      <c r="D9" s="20">
        <v>11011</v>
      </c>
    </row>
    <row r="10" spans="1:4" x14ac:dyDescent="0.25">
      <c r="A10" s="3" t="s">
        <v>33</v>
      </c>
      <c r="B10" s="20">
        <v>11</v>
      </c>
      <c r="C10" s="20">
        <v>10</v>
      </c>
      <c r="D10" s="20">
        <v>11010</v>
      </c>
    </row>
    <row r="11" spans="1:4" x14ac:dyDescent="0.25">
      <c r="A11" s="3" t="s">
        <v>43</v>
      </c>
      <c r="B11" s="20">
        <v>11</v>
      </c>
      <c r="C11" s="20">
        <v>5</v>
      </c>
      <c r="D11" s="20">
        <v>11005</v>
      </c>
    </row>
    <row r="12" spans="1:4" x14ac:dyDescent="0.25">
      <c r="A12" s="3" t="s">
        <v>63</v>
      </c>
      <c r="B12" s="20">
        <v>8</v>
      </c>
      <c r="C12" s="20">
        <v>5</v>
      </c>
      <c r="D12" s="20">
        <v>8005</v>
      </c>
    </row>
    <row r="13" spans="1:4" x14ac:dyDescent="0.25">
      <c r="A13" s="3" t="s">
        <v>61</v>
      </c>
      <c r="B13" s="20">
        <v>5</v>
      </c>
      <c r="C13" s="20">
        <v>5</v>
      </c>
      <c r="D13" s="20">
        <v>5005</v>
      </c>
    </row>
    <row r="14" spans="1:4" x14ac:dyDescent="0.25">
      <c r="A14" s="3" t="s">
        <v>54</v>
      </c>
      <c r="B14" s="20">
        <v>5</v>
      </c>
      <c r="C14" s="20">
        <v>5</v>
      </c>
      <c r="D14" s="20">
        <v>5005</v>
      </c>
    </row>
    <row r="15" spans="1:4" x14ac:dyDescent="0.25">
      <c r="A15" s="3" t="s">
        <v>58</v>
      </c>
      <c r="B15" s="20">
        <v>5</v>
      </c>
      <c r="C15" s="20">
        <v>3</v>
      </c>
      <c r="D15" s="20">
        <v>5003</v>
      </c>
    </row>
    <row r="16" spans="1:4" x14ac:dyDescent="0.25">
      <c r="A16" s="3" t="s">
        <v>34</v>
      </c>
      <c r="B16" s="20">
        <v>5</v>
      </c>
      <c r="C16" s="20">
        <v>2</v>
      </c>
      <c r="D16" s="20">
        <v>5002</v>
      </c>
    </row>
    <row r="17" spans="1:4" x14ac:dyDescent="0.25">
      <c r="A17" s="3" t="s">
        <v>28</v>
      </c>
      <c r="B17" s="20">
        <v>5</v>
      </c>
      <c r="C17" s="20">
        <v>0</v>
      </c>
      <c r="D17" s="20">
        <v>5000</v>
      </c>
    </row>
    <row r="18" spans="1:4" x14ac:dyDescent="0.25">
      <c r="A18" s="3" t="s">
        <v>53</v>
      </c>
      <c r="B18" s="20">
        <v>4</v>
      </c>
      <c r="C18" s="20">
        <v>8</v>
      </c>
      <c r="D18" s="20">
        <v>4008</v>
      </c>
    </row>
    <row r="19" spans="1:4" x14ac:dyDescent="0.25">
      <c r="A19" s="3" t="s">
        <v>26</v>
      </c>
      <c r="B19" s="20">
        <v>4</v>
      </c>
      <c r="C19" s="20">
        <v>3</v>
      </c>
      <c r="D19" s="20">
        <v>4003</v>
      </c>
    </row>
    <row r="20" spans="1:4" x14ac:dyDescent="0.25">
      <c r="A20" s="3" t="s">
        <v>46</v>
      </c>
      <c r="B20" s="20">
        <v>3</v>
      </c>
      <c r="C20" s="20">
        <v>2</v>
      </c>
      <c r="D20" s="20">
        <v>3002</v>
      </c>
    </row>
    <row r="21" spans="1:4" x14ac:dyDescent="0.25">
      <c r="A21" s="3" t="s">
        <v>4</v>
      </c>
      <c r="B21" s="20">
        <v>2</v>
      </c>
      <c r="C21" s="20">
        <v>4</v>
      </c>
      <c r="D21" s="20">
        <v>2004</v>
      </c>
    </row>
    <row r="22" spans="1:4" x14ac:dyDescent="0.25">
      <c r="A22" s="3" t="s">
        <v>60</v>
      </c>
      <c r="B22" s="20">
        <v>2</v>
      </c>
      <c r="C22" s="20">
        <v>3</v>
      </c>
      <c r="D22" s="20">
        <v>2003</v>
      </c>
    </row>
    <row r="23" spans="1:4" x14ac:dyDescent="0.25">
      <c r="A23" s="3" t="s">
        <v>49</v>
      </c>
      <c r="B23" s="20">
        <v>2</v>
      </c>
      <c r="C23" s="20">
        <v>1</v>
      </c>
      <c r="D23" s="20">
        <v>2001</v>
      </c>
    </row>
    <row r="24" spans="1:4" x14ac:dyDescent="0.25">
      <c r="A24" s="3" t="s">
        <v>52</v>
      </c>
      <c r="B24" s="20">
        <v>2</v>
      </c>
      <c r="C24" s="20">
        <v>1</v>
      </c>
      <c r="D24" s="20">
        <v>2001</v>
      </c>
    </row>
    <row r="25" spans="1:4" x14ac:dyDescent="0.25">
      <c r="A25" s="3" t="s">
        <v>44</v>
      </c>
      <c r="B25" s="20">
        <v>2</v>
      </c>
      <c r="C25" s="20">
        <v>0</v>
      </c>
      <c r="D25" s="20">
        <v>2000</v>
      </c>
    </row>
    <row r="26" spans="1:4" x14ac:dyDescent="0.25">
      <c r="A26" s="3" t="s">
        <v>56</v>
      </c>
      <c r="B26" s="20">
        <v>1</v>
      </c>
      <c r="C26" s="20">
        <v>2</v>
      </c>
      <c r="D26" s="20">
        <v>1002</v>
      </c>
    </row>
    <row r="27" spans="1:4" x14ac:dyDescent="0.25">
      <c r="A27" s="3" t="s">
        <v>65</v>
      </c>
      <c r="B27" s="20">
        <v>1</v>
      </c>
      <c r="C27" s="20">
        <v>1</v>
      </c>
      <c r="D27" s="20">
        <v>1001</v>
      </c>
    </row>
    <row r="28" spans="1:4" x14ac:dyDescent="0.25">
      <c r="A28" s="3" t="s">
        <v>7</v>
      </c>
      <c r="B28" s="20">
        <v>1</v>
      </c>
      <c r="C28" s="20">
        <v>0</v>
      </c>
      <c r="D28" s="20">
        <v>1000</v>
      </c>
    </row>
    <row r="29" spans="1:4" x14ac:dyDescent="0.25">
      <c r="A29" s="3" t="s">
        <v>6</v>
      </c>
      <c r="B29" s="20">
        <v>1</v>
      </c>
      <c r="C29" s="20">
        <v>0</v>
      </c>
      <c r="D29" s="20">
        <v>1000</v>
      </c>
    </row>
    <row r="30" spans="1:4" x14ac:dyDescent="0.25">
      <c r="A30" s="3" t="s">
        <v>59</v>
      </c>
      <c r="B30" s="20">
        <v>1</v>
      </c>
      <c r="C30" s="20">
        <v>0</v>
      </c>
      <c r="D30" s="20">
        <v>1000</v>
      </c>
    </row>
    <row r="31" spans="1:4" x14ac:dyDescent="0.25">
      <c r="A31" s="3" t="s">
        <v>12</v>
      </c>
      <c r="B31" s="20">
        <v>0</v>
      </c>
      <c r="C31" s="20">
        <v>0</v>
      </c>
      <c r="D31" s="20">
        <v>0</v>
      </c>
    </row>
    <row r="32" spans="1:4" x14ac:dyDescent="0.25">
      <c r="A32" s="3" t="s">
        <v>93</v>
      </c>
      <c r="B32" s="20">
        <v>0</v>
      </c>
      <c r="C32" s="20">
        <v>0</v>
      </c>
      <c r="D32" s="20">
        <v>0</v>
      </c>
    </row>
    <row r="33" spans="1:4" x14ac:dyDescent="0.25">
      <c r="A33" s="3" t="s">
        <v>39</v>
      </c>
      <c r="B33" s="20">
        <v>0</v>
      </c>
      <c r="C33" s="20">
        <v>0</v>
      </c>
      <c r="D33" s="20">
        <v>0</v>
      </c>
    </row>
    <row r="34" spans="1:4" x14ac:dyDescent="0.25">
      <c r="A34" s="3" t="s">
        <v>5</v>
      </c>
      <c r="B34" s="20">
        <v>0</v>
      </c>
      <c r="C34" s="20">
        <v>0</v>
      </c>
      <c r="D34" s="20">
        <v>0</v>
      </c>
    </row>
    <row r="35" spans="1:4" x14ac:dyDescent="0.25">
      <c r="A35" s="3" t="s">
        <v>14</v>
      </c>
      <c r="B35" s="20">
        <v>224</v>
      </c>
      <c r="C35" s="20">
        <v>161</v>
      </c>
      <c r="D35" s="20">
        <v>224161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D826-4C10-496F-A6B2-C6754EE8F152}">
  <dimension ref="A1:T39"/>
  <sheetViews>
    <sheetView tabSelected="1" workbookViewId="0">
      <selection activeCell="M21" sqref="M21"/>
    </sheetView>
  </sheetViews>
  <sheetFormatPr defaultRowHeight="15" x14ac:dyDescent="0.25"/>
  <cols>
    <col min="1" max="1" width="16.85546875" bestFit="1" customWidth="1"/>
    <col min="2" max="2" width="10.7109375" bestFit="1" customWidth="1"/>
    <col min="3" max="3" width="26.7109375" bestFit="1" customWidth="1"/>
    <col min="4" max="4" width="7.85546875" bestFit="1" customWidth="1"/>
    <col min="5" max="6" width="8.5703125" bestFit="1" customWidth="1"/>
    <col min="7" max="7" width="8.5703125" customWidth="1"/>
    <col min="8" max="8" width="9.85546875" bestFit="1" customWidth="1"/>
    <col min="9" max="10" width="10.5703125" bestFit="1" customWidth="1"/>
    <col min="11" max="11" width="7.5703125" customWidth="1"/>
    <col min="12" max="12" width="18.140625" customWidth="1"/>
    <col min="13" max="13" width="14.85546875" customWidth="1"/>
    <col min="14" max="14" width="8.42578125" customWidth="1"/>
    <col min="15" max="15" width="7.42578125" customWidth="1"/>
    <col min="16" max="16" width="6.140625" customWidth="1"/>
    <col min="17" max="18" width="6.5703125" customWidth="1"/>
    <col min="19" max="19" width="7.140625" customWidth="1"/>
    <col min="20" max="20" width="9.42578125" customWidth="1"/>
  </cols>
  <sheetData>
    <row r="1" spans="1:20" ht="18.75" x14ac:dyDescent="0.3">
      <c r="A1" s="17" t="s">
        <v>73</v>
      </c>
      <c r="B1" s="18"/>
      <c r="C1" s="18"/>
      <c r="D1" s="18"/>
      <c r="E1" s="18"/>
      <c r="F1" s="18"/>
      <c r="G1" s="18"/>
      <c r="H1" s="18"/>
      <c r="I1" s="18"/>
      <c r="J1" s="18"/>
      <c r="L1" s="17" t="s">
        <v>82</v>
      </c>
      <c r="M1" s="18"/>
      <c r="N1" s="18"/>
      <c r="O1" s="18"/>
      <c r="P1" s="18"/>
      <c r="Q1" s="18"/>
      <c r="R1" s="18"/>
      <c r="S1" s="18"/>
      <c r="T1" s="18"/>
    </row>
    <row r="3" spans="1:20" x14ac:dyDescent="0.25">
      <c r="A3" s="18" t="s">
        <v>94</v>
      </c>
      <c r="B3" s="18"/>
      <c r="C3" s="18"/>
      <c r="D3" s="18"/>
      <c r="E3" s="18"/>
      <c r="F3" s="18"/>
      <c r="G3" s="18"/>
      <c r="H3" s="18"/>
      <c r="I3" s="18"/>
      <c r="J3" s="18"/>
      <c r="L3" s="18" t="s">
        <v>95</v>
      </c>
      <c r="M3" s="18"/>
      <c r="N3" s="18"/>
      <c r="O3" s="18"/>
      <c r="P3" s="18"/>
      <c r="Q3" s="18"/>
      <c r="R3" s="18"/>
      <c r="S3" s="18"/>
      <c r="T3" s="18"/>
    </row>
    <row r="5" spans="1:20" x14ac:dyDescent="0.25">
      <c r="A5" t="s">
        <v>74</v>
      </c>
      <c r="B5">
        <f>ROWS(_xlfn.UNIQUE('Player Match Stats'!A2:A285))</f>
        <v>20</v>
      </c>
      <c r="C5" t="s">
        <v>75</v>
      </c>
      <c r="D5">
        <f>ROUNDUP(B5*0.6,0)</f>
        <v>12</v>
      </c>
      <c r="K5" t="s">
        <v>83</v>
      </c>
      <c r="L5" s="14" t="s">
        <v>24</v>
      </c>
      <c r="M5" s="14" t="s">
        <v>84</v>
      </c>
      <c r="N5" s="14" t="s">
        <v>85</v>
      </c>
      <c r="O5" s="14" t="s">
        <v>86</v>
      </c>
      <c r="P5" s="14" t="s">
        <v>87</v>
      </c>
      <c r="Q5" s="16" t="s">
        <v>96</v>
      </c>
      <c r="R5" s="14" t="s">
        <v>89</v>
      </c>
      <c r="S5" s="14" t="s">
        <v>90</v>
      </c>
      <c r="T5" s="14" t="s">
        <v>91</v>
      </c>
    </row>
    <row r="6" spans="1:20" x14ac:dyDescent="0.25">
      <c r="K6" t="s">
        <v>97</v>
      </c>
      <c r="L6" t="str" cm="1">
        <f t="array" ref="L6:T17">_xlfn._xlws.SORT(_xlfn._xlws.FILTER(A8:I39,J8:J39="✅ SIM"),7,-1)</f>
        <v>guilherme</v>
      </c>
      <c r="M6" s="15">
        <v>17</v>
      </c>
      <c r="N6" s="15">
        <v>9</v>
      </c>
      <c r="O6" s="15">
        <v>4</v>
      </c>
      <c r="P6" s="15">
        <v>3</v>
      </c>
      <c r="Q6" s="15">
        <v>1</v>
      </c>
      <c r="R6" s="13">
        <v>0.5625</v>
      </c>
      <c r="S6" s="13">
        <v>0.25</v>
      </c>
      <c r="T6" s="13">
        <v>0.1875</v>
      </c>
    </row>
    <row r="7" spans="1:20" x14ac:dyDescent="0.25">
      <c r="A7" s="12" t="s">
        <v>24</v>
      </c>
      <c r="B7" s="12" t="s">
        <v>76</v>
      </c>
      <c r="C7" s="12" t="s">
        <v>77</v>
      </c>
      <c r="D7" s="12" t="s">
        <v>19</v>
      </c>
      <c r="E7" s="12" t="s">
        <v>20</v>
      </c>
      <c r="F7" s="12" t="s">
        <v>96</v>
      </c>
      <c r="G7" s="12" t="s">
        <v>78</v>
      </c>
      <c r="H7" s="12" t="s">
        <v>79</v>
      </c>
      <c r="I7" s="12" t="s">
        <v>80</v>
      </c>
      <c r="J7" s="12" t="s">
        <v>81</v>
      </c>
      <c r="K7" t="s">
        <v>98</v>
      </c>
      <c r="L7" t="str">
        <v>marcus</v>
      </c>
      <c r="M7" s="15">
        <v>14</v>
      </c>
      <c r="N7" s="15">
        <v>7</v>
      </c>
      <c r="O7" s="15">
        <v>5</v>
      </c>
      <c r="P7" s="15">
        <v>1</v>
      </c>
      <c r="Q7" s="15">
        <v>1</v>
      </c>
      <c r="R7" s="13">
        <v>0.53846153846153844</v>
      </c>
      <c r="S7" s="13">
        <v>0.38461538461538464</v>
      </c>
      <c r="T7" s="13">
        <v>7.6923076923076927E-2</v>
      </c>
    </row>
    <row r="8" spans="1:20" x14ac:dyDescent="0.25">
      <c r="A8" t="str">
        <f>Geral!A4</f>
        <v>miguel saddi</v>
      </c>
      <c r="B8">
        <f>COUNTIF('Player Match Stats'!$C:$C,A8)</f>
        <v>18</v>
      </c>
      <c r="C8">
        <f>SUMIF('Player Match Stats'!$C:$C,A8,'Player Match Stats'!$F:$F)</f>
        <v>7</v>
      </c>
      <c r="D8">
        <f>SUMIF('Player Match Stats'!$C:$C,A8,'Player Match Stats'!$G:$G)</f>
        <v>8</v>
      </c>
      <c r="E8">
        <f>SUMIF('Player Match Stats'!$C:$C,A8,'Player Match Stats'!$H:$H)</f>
        <v>2</v>
      </c>
      <c r="F8" s="15">
        <f>SUMIF('Player Match Stats'!$C:$C,A8,'Player Match Stats'!$I:$I)</f>
        <v>1</v>
      </c>
      <c r="G8">
        <f t="shared" ref="G8:G39" si="0">IF((C8+D8+E8)=0,0,C8/(C8+D8+E8))</f>
        <v>0.41176470588235292</v>
      </c>
      <c r="H8" s="13">
        <f t="shared" ref="H8:H39" si="1">IF((C8+D8+E8)=0,0,D8/(C8+D8+E8))</f>
        <v>0.47058823529411764</v>
      </c>
      <c r="I8" s="13">
        <f t="shared" ref="I8:I39" si="2">IF((C8+D8+E8)=0,0,E8/(C8+D8+E8))</f>
        <v>0.11764705882352941</v>
      </c>
      <c r="J8" s="13" t="str">
        <f t="shared" ref="J8:J39" si="3">IF(B8&gt;=$D$5,"✅ SIM","❌ NÃO")</f>
        <v>✅ SIM</v>
      </c>
      <c r="K8" t="s">
        <v>99</v>
      </c>
      <c r="L8" t="str">
        <v>leandro</v>
      </c>
      <c r="M8" s="15">
        <v>13</v>
      </c>
      <c r="N8" s="15">
        <v>6</v>
      </c>
      <c r="O8" s="15">
        <v>3</v>
      </c>
      <c r="P8" s="15">
        <v>3</v>
      </c>
      <c r="Q8" s="15">
        <v>1</v>
      </c>
      <c r="R8" s="13">
        <v>0.5</v>
      </c>
      <c r="S8" s="13">
        <v>0.25</v>
      </c>
      <c r="T8" s="13">
        <v>0.25</v>
      </c>
    </row>
    <row r="9" spans="1:20" x14ac:dyDescent="0.25">
      <c r="A9" t="str">
        <f>Geral!A5</f>
        <v>douglas b</v>
      </c>
      <c r="B9">
        <f>COUNTIF('Player Match Stats'!$C:$C,A9)</f>
        <v>18</v>
      </c>
      <c r="C9">
        <f>SUMIF('Player Match Stats'!$C:$C,A9,'Player Match Stats'!$F:$F)</f>
        <v>7</v>
      </c>
      <c r="D9">
        <f>SUMIF('Player Match Stats'!$C:$C,A9,'Player Match Stats'!$G:$G)</f>
        <v>7</v>
      </c>
      <c r="E9">
        <f>SUMIF('Player Match Stats'!$C:$C,A9,'Player Match Stats'!$H:$H)</f>
        <v>3</v>
      </c>
      <c r="F9" s="15">
        <f>SUMIF('Player Match Stats'!$C:$C,A9,'Player Match Stats'!$I:$I)</f>
        <v>1</v>
      </c>
      <c r="G9">
        <f t="shared" si="0"/>
        <v>0.41176470588235292</v>
      </c>
      <c r="H9" s="13">
        <f t="shared" si="1"/>
        <v>0.41176470588235292</v>
      </c>
      <c r="I9" s="13">
        <f t="shared" si="2"/>
        <v>0.17647058823529413</v>
      </c>
      <c r="J9" s="13" t="str">
        <f t="shared" si="3"/>
        <v>✅ SIM</v>
      </c>
      <c r="K9">
        <f>IF(L9&lt;&gt;"",4,"")</f>
        <v>4</v>
      </c>
      <c r="L9" t="str">
        <v>lucas volcov</v>
      </c>
      <c r="M9" s="15">
        <v>16</v>
      </c>
      <c r="N9" s="15">
        <v>7</v>
      </c>
      <c r="O9" s="15">
        <v>5</v>
      </c>
      <c r="P9" s="15">
        <v>3</v>
      </c>
      <c r="Q9" s="15">
        <v>1</v>
      </c>
      <c r="R9" s="13">
        <v>0.46666666666666667</v>
      </c>
      <c r="S9" s="13">
        <v>0.33333333333333331</v>
      </c>
      <c r="T9" s="13">
        <v>0.2</v>
      </c>
    </row>
    <row r="10" spans="1:20" x14ac:dyDescent="0.25">
      <c r="A10" t="str">
        <f>Geral!A6</f>
        <v>guilherme</v>
      </c>
      <c r="B10">
        <f>COUNTIF('Player Match Stats'!$C:$C,A10)</f>
        <v>17</v>
      </c>
      <c r="C10">
        <f>SUMIF('Player Match Stats'!$C:$C,A10,'Player Match Stats'!$F:$F)</f>
        <v>9</v>
      </c>
      <c r="D10">
        <f>SUMIF('Player Match Stats'!$C:$C,A10,'Player Match Stats'!$G:$G)</f>
        <v>4</v>
      </c>
      <c r="E10">
        <f>SUMIF('Player Match Stats'!$C:$C,A10,'Player Match Stats'!$H:$H)</f>
        <v>3</v>
      </c>
      <c r="F10" s="15">
        <f>SUMIF('Player Match Stats'!$C:$C,A10,'Player Match Stats'!$I:$I)</f>
        <v>1</v>
      </c>
      <c r="G10">
        <f t="shared" si="0"/>
        <v>0.5625</v>
      </c>
      <c r="H10" s="13">
        <f t="shared" si="1"/>
        <v>0.25</v>
      </c>
      <c r="I10" s="13">
        <f t="shared" si="2"/>
        <v>0.1875</v>
      </c>
      <c r="J10" s="13" t="str">
        <f t="shared" si="3"/>
        <v>✅ SIM</v>
      </c>
      <c r="K10">
        <f>IF(L10&lt;&gt;"",5,"")</f>
        <v>5</v>
      </c>
      <c r="L10" t="str">
        <v>luciano</v>
      </c>
      <c r="M10" s="15">
        <v>15</v>
      </c>
      <c r="N10" s="15">
        <v>6</v>
      </c>
      <c r="O10" s="15">
        <v>5</v>
      </c>
      <c r="P10" s="15">
        <v>3</v>
      </c>
      <c r="Q10" s="15">
        <v>1</v>
      </c>
      <c r="R10" s="13">
        <v>0.42857142857142855</v>
      </c>
      <c r="S10" s="13">
        <v>0.35714285714285715</v>
      </c>
      <c r="T10" s="13">
        <v>0.21428571428571427</v>
      </c>
    </row>
    <row r="11" spans="1:20" x14ac:dyDescent="0.25">
      <c r="A11" t="str">
        <f>Geral!A7</f>
        <v>gabriel diretoria</v>
      </c>
      <c r="B11">
        <f>COUNTIF('Player Match Stats'!$C:$C,A11)</f>
        <v>17</v>
      </c>
      <c r="C11">
        <f>SUMIF('Player Match Stats'!$C:$C,A11,'Player Match Stats'!$F:$F)</f>
        <v>6</v>
      </c>
      <c r="D11">
        <f>SUMIF('Player Match Stats'!$C:$C,A11,'Player Match Stats'!$G:$G)</f>
        <v>8</v>
      </c>
      <c r="E11">
        <f>SUMIF('Player Match Stats'!$C:$C,A11,'Player Match Stats'!$H:$H)</f>
        <v>2</v>
      </c>
      <c r="F11" s="15">
        <f>SUMIF('Player Match Stats'!$C:$C,A11,'Player Match Stats'!$I:$I)</f>
        <v>1</v>
      </c>
      <c r="G11">
        <f t="shared" si="0"/>
        <v>0.375</v>
      </c>
      <c r="H11" s="13">
        <f t="shared" si="1"/>
        <v>0.5</v>
      </c>
      <c r="I11" s="13">
        <f t="shared" si="2"/>
        <v>0.125</v>
      </c>
      <c r="J11" s="13" t="str">
        <f t="shared" si="3"/>
        <v>✅ SIM</v>
      </c>
      <c r="K11">
        <f>IF(L11&lt;&gt;"",6,"")</f>
        <v>6</v>
      </c>
      <c r="L11" t="str">
        <v>joao</v>
      </c>
      <c r="M11" s="15">
        <v>15</v>
      </c>
      <c r="N11" s="15">
        <v>6</v>
      </c>
      <c r="O11" s="15">
        <v>6</v>
      </c>
      <c r="P11" s="15">
        <v>2</v>
      </c>
      <c r="Q11" s="15">
        <v>1</v>
      </c>
      <c r="R11" s="13">
        <v>0.42857142857142855</v>
      </c>
      <c r="S11" s="13">
        <v>0.42857142857142855</v>
      </c>
      <c r="T11" s="13">
        <v>0.14285714285714285</v>
      </c>
    </row>
    <row r="12" spans="1:20" x14ac:dyDescent="0.25">
      <c r="A12" t="str">
        <f>Geral!A8</f>
        <v>diego</v>
      </c>
      <c r="B12">
        <f>COUNTIF('Player Match Stats'!$C:$C,A12)</f>
        <v>17</v>
      </c>
      <c r="C12">
        <f>SUMIF('Player Match Stats'!$C:$C,A12,'Player Match Stats'!$F:$F)</f>
        <v>5</v>
      </c>
      <c r="D12">
        <f>SUMIF('Player Match Stats'!$C:$C,A12,'Player Match Stats'!$G:$G)</f>
        <v>9</v>
      </c>
      <c r="E12">
        <f>SUMIF('Player Match Stats'!$C:$C,A12,'Player Match Stats'!$H:$H)</f>
        <v>2</v>
      </c>
      <c r="F12" s="15">
        <f>SUMIF('Player Match Stats'!$C:$C,A12,'Player Match Stats'!$I:$I)</f>
        <v>1</v>
      </c>
      <c r="G12">
        <f t="shared" si="0"/>
        <v>0.3125</v>
      </c>
      <c r="H12" s="13">
        <f t="shared" si="1"/>
        <v>0.5625</v>
      </c>
      <c r="I12" s="13">
        <f t="shared" si="2"/>
        <v>0.125</v>
      </c>
      <c r="J12" s="13" t="str">
        <f t="shared" si="3"/>
        <v>✅ SIM</v>
      </c>
      <c r="K12">
        <f>IF(L12&lt;&gt;"",7,"")</f>
        <v>7</v>
      </c>
      <c r="L12" t="str">
        <v>miguel saddi</v>
      </c>
      <c r="M12" s="15">
        <v>18</v>
      </c>
      <c r="N12" s="15">
        <v>7</v>
      </c>
      <c r="O12" s="15">
        <v>8</v>
      </c>
      <c r="P12" s="15">
        <v>2</v>
      </c>
      <c r="Q12" s="15">
        <v>1</v>
      </c>
      <c r="R12" s="13">
        <v>0.41176470588235292</v>
      </c>
      <c r="S12" s="13">
        <v>0.47058823529411764</v>
      </c>
      <c r="T12" s="13">
        <v>0.11764705882352941</v>
      </c>
    </row>
    <row r="13" spans="1:20" x14ac:dyDescent="0.25">
      <c r="A13" t="str">
        <f>Geral!A9</f>
        <v>lucas volcov</v>
      </c>
      <c r="B13">
        <f>COUNTIF('Player Match Stats'!$C:$C,A13)</f>
        <v>16</v>
      </c>
      <c r="C13">
        <f>SUMIF('Player Match Stats'!$C:$C,A13,'Player Match Stats'!$F:$F)</f>
        <v>7</v>
      </c>
      <c r="D13">
        <f>SUMIF('Player Match Stats'!$C:$C,A13,'Player Match Stats'!$G:$G)</f>
        <v>5</v>
      </c>
      <c r="E13">
        <f>SUMIF('Player Match Stats'!$C:$C,A13,'Player Match Stats'!$H:$H)</f>
        <v>3</v>
      </c>
      <c r="F13" s="15">
        <f>SUMIF('Player Match Stats'!$C:$C,A13,'Player Match Stats'!$I:$I)</f>
        <v>1</v>
      </c>
      <c r="G13">
        <f t="shared" si="0"/>
        <v>0.46666666666666667</v>
      </c>
      <c r="H13" s="13">
        <f t="shared" si="1"/>
        <v>0.33333333333333331</v>
      </c>
      <c r="I13" s="13">
        <f t="shared" si="2"/>
        <v>0.2</v>
      </c>
      <c r="J13" s="13" t="str">
        <f t="shared" si="3"/>
        <v>✅ SIM</v>
      </c>
      <c r="K13">
        <f>IF(L13&lt;&gt;"",8,"")</f>
        <v>8</v>
      </c>
      <c r="L13" t="str">
        <v>douglas b</v>
      </c>
      <c r="M13" s="15">
        <v>18</v>
      </c>
      <c r="N13" s="15">
        <v>7</v>
      </c>
      <c r="O13" s="15">
        <v>7</v>
      </c>
      <c r="P13" s="15">
        <v>3</v>
      </c>
      <c r="Q13" s="15">
        <v>1</v>
      </c>
      <c r="R13" s="13">
        <v>0.41176470588235292</v>
      </c>
      <c r="S13" s="13">
        <v>0.41176470588235292</v>
      </c>
      <c r="T13" s="13">
        <v>0.17647058823529413</v>
      </c>
    </row>
    <row r="14" spans="1:20" x14ac:dyDescent="0.25">
      <c r="A14" t="str">
        <f>Geral!A10</f>
        <v>luciano</v>
      </c>
      <c r="B14">
        <f>COUNTIF('Player Match Stats'!$C:$C,A14)</f>
        <v>15</v>
      </c>
      <c r="C14">
        <f>SUMIF('Player Match Stats'!$C:$C,A14,'Player Match Stats'!$F:$F)</f>
        <v>6</v>
      </c>
      <c r="D14">
        <f>SUMIF('Player Match Stats'!$C:$C,A14,'Player Match Stats'!$G:$G)</f>
        <v>5</v>
      </c>
      <c r="E14">
        <f>SUMIF('Player Match Stats'!$C:$C,A14,'Player Match Stats'!$H:$H)</f>
        <v>3</v>
      </c>
      <c r="F14" s="15">
        <f>SUMIF('Player Match Stats'!$C:$C,A14,'Player Match Stats'!$I:$I)</f>
        <v>1</v>
      </c>
      <c r="G14">
        <f t="shared" si="0"/>
        <v>0.42857142857142855</v>
      </c>
      <c r="H14" s="13">
        <f t="shared" si="1"/>
        <v>0.35714285714285715</v>
      </c>
      <c r="I14" s="13">
        <f t="shared" si="2"/>
        <v>0.21428571428571427</v>
      </c>
      <c r="J14" s="13" t="str">
        <f t="shared" si="3"/>
        <v>✅ SIM</v>
      </c>
      <c r="K14">
        <f>IF(L14&lt;&gt;"",9,"")</f>
        <v>9</v>
      </c>
      <c r="L14" t="str">
        <v>gabriel diretoria</v>
      </c>
      <c r="M14" s="15">
        <v>17</v>
      </c>
      <c r="N14" s="15">
        <v>6</v>
      </c>
      <c r="O14" s="15">
        <v>8</v>
      </c>
      <c r="P14" s="15">
        <v>2</v>
      </c>
      <c r="Q14" s="15">
        <v>1</v>
      </c>
      <c r="R14" s="13">
        <v>0.375</v>
      </c>
      <c r="S14" s="13">
        <v>0.5</v>
      </c>
      <c r="T14" s="13">
        <v>0.125</v>
      </c>
    </row>
    <row r="15" spans="1:20" x14ac:dyDescent="0.25">
      <c r="A15" t="str">
        <f>Geral!A11</f>
        <v>joao</v>
      </c>
      <c r="B15">
        <f>COUNTIF('Player Match Stats'!$C:$C,A15)</f>
        <v>15</v>
      </c>
      <c r="C15">
        <f>SUMIF('Player Match Stats'!$C:$C,A15,'Player Match Stats'!$F:$F)</f>
        <v>6</v>
      </c>
      <c r="D15">
        <f>SUMIF('Player Match Stats'!$C:$C,A15,'Player Match Stats'!$G:$G)</f>
        <v>6</v>
      </c>
      <c r="E15">
        <f>SUMIF('Player Match Stats'!$C:$C,A15,'Player Match Stats'!$H:$H)</f>
        <v>2</v>
      </c>
      <c r="F15" s="15">
        <f>SUMIF('Player Match Stats'!$C:$C,A15,'Player Match Stats'!$I:$I)</f>
        <v>1</v>
      </c>
      <c r="G15">
        <f t="shared" si="0"/>
        <v>0.42857142857142855</v>
      </c>
      <c r="H15" s="13">
        <f t="shared" si="1"/>
        <v>0.42857142857142855</v>
      </c>
      <c r="I15" s="13">
        <f t="shared" si="2"/>
        <v>0.14285714285714285</v>
      </c>
      <c r="J15" s="13" t="str">
        <f t="shared" si="3"/>
        <v>✅ SIM</v>
      </c>
      <c r="K15">
        <f>IF(L15&lt;&gt;"",10,"")</f>
        <v>10</v>
      </c>
      <c r="L15" t="str">
        <v>alisson</v>
      </c>
      <c r="M15" s="15">
        <v>12</v>
      </c>
      <c r="N15" s="15">
        <v>4</v>
      </c>
      <c r="O15" s="15">
        <v>6</v>
      </c>
      <c r="P15" s="15">
        <v>1</v>
      </c>
      <c r="Q15" s="15">
        <v>1</v>
      </c>
      <c r="R15" s="13">
        <v>0.36363636363636365</v>
      </c>
      <c r="S15" s="13">
        <v>0.54545454545454541</v>
      </c>
      <c r="T15" s="13">
        <v>9.0909090909090912E-2</v>
      </c>
    </row>
    <row r="16" spans="1:20" x14ac:dyDescent="0.25">
      <c r="A16" t="str">
        <f>Geral!A12</f>
        <v>miguel miranda</v>
      </c>
      <c r="B16">
        <f>COUNTIF('Player Match Stats'!$C:$C,A16)</f>
        <v>15</v>
      </c>
      <c r="C16">
        <f>SUMIF('Player Match Stats'!$C:$C,A16,'Player Match Stats'!$F:$F)</f>
        <v>5</v>
      </c>
      <c r="D16">
        <f>SUMIF('Player Match Stats'!$C:$C,A16,'Player Match Stats'!$G:$G)</f>
        <v>7</v>
      </c>
      <c r="E16">
        <f>SUMIF('Player Match Stats'!$C:$C,A16,'Player Match Stats'!$H:$H)</f>
        <v>2</v>
      </c>
      <c r="F16" s="15">
        <f>SUMIF('Player Match Stats'!$C:$C,A16,'Player Match Stats'!$I:$I)</f>
        <v>1</v>
      </c>
      <c r="G16">
        <f t="shared" si="0"/>
        <v>0.35714285714285715</v>
      </c>
      <c r="H16" s="13">
        <f t="shared" si="1"/>
        <v>0.5</v>
      </c>
      <c r="I16" s="13">
        <f t="shared" si="2"/>
        <v>0.14285714285714285</v>
      </c>
      <c r="J16" s="13" t="str">
        <f t="shared" si="3"/>
        <v>✅ SIM</v>
      </c>
      <c r="K16">
        <f>IF(L16&lt;&gt;"",11,"")</f>
        <v>11</v>
      </c>
      <c r="L16" t="str">
        <v>miguel miranda</v>
      </c>
      <c r="M16" s="15">
        <v>15</v>
      </c>
      <c r="N16" s="15">
        <v>5</v>
      </c>
      <c r="O16" s="15">
        <v>7</v>
      </c>
      <c r="P16" s="15">
        <v>2</v>
      </c>
      <c r="Q16" s="15">
        <v>1</v>
      </c>
      <c r="R16" s="13">
        <v>0.35714285714285715</v>
      </c>
      <c r="S16" s="13">
        <v>0.5</v>
      </c>
      <c r="T16" s="13">
        <v>0.14285714285714285</v>
      </c>
    </row>
    <row r="17" spans="1:20" x14ac:dyDescent="0.25">
      <c r="A17" t="str">
        <f>Geral!A13</f>
        <v>marcus</v>
      </c>
      <c r="B17">
        <f>COUNTIF('Player Match Stats'!$C:$C,A17)</f>
        <v>14</v>
      </c>
      <c r="C17">
        <f>SUMIF('Player Match Stats'!$C:$C,A17,'Player Match Stats'!$F:$F)</f>
        <v>7</v>
      </c>
      <c r="D17">
        <f>SUMIF('Player Match Stats'!$C:$C,A17,'Player Match Stats'!$G:$G)</f>
        <v>5</v>
      </c>
      <c r="E17">
        <f>SUMIF('Player Match Stats'!$C:$C,A17,'Player Match Stats'!$H:$H)</f>
        <v>1</v>
      </c>
      <c r="F17" s="15">
        <f>SUMIF('Player Match Stats'!$C:$C,A17,'Player Match Stats'!$I:$I)</f>
        <v>1</v>
      </c>
      <c r="G17">
        <f t="shared" si="0"/>
        <v>0.53846153846153844</v>
      </c>
      <c r="H17" s="13">
        <f t="shared" si="1"/>
        <v>0.38461538461538464</v>
      </c>
      <c r="I17" s="13">
        <f t="shared" si="2"/>
        <v>7.6923076923076927E-2</v>
      </c>
      <c r="J17" s="13" t="str">
        <f t="shared" si="3"/>
        <v>✅ SIM</v>
      </c>
      <c r="K17">
        <f>IF(L17&lt;&gt;"",12,"")</f>
        <v>12</v>
      </c>
      <c r="L17" t="str">
        <v>diego</v>
      </c>
      <c r="M17" s="15">
        <v>17</v>
      </c>
      <c r="N17" s="15">
        <v>5</v>
      </c>
      <c r="O17" s="15">
        <v>9</v>
      </c>
      <c r="P17" s="15">
        <v>2</v>
      </c>
      <c r="Q17" s="15">
        <v>1</v>
      </c>
      <c r="R17" s="13">
        <v>0.3125</v>
      </c>
      <c r="S17" s="13">
        <v>0.5625</v>
      </c>
      <c r="T17" s="13">
        <v>0.125</v>
      </c>
    </row>
    <row r="18" spans="1:20" x14ac:dyDescent="0.25">
      <c r="A18" t="str">
        <f>Geral!A14</f>
        <v>leandro</v>
      </c>
      <c r="B18">
        <f>COUNTIF('Player Match Stats'!$C:$C,A18)</f>
        <v>13</v>
      </c>
      <c r="C18">
        <f>SUMIF('Player Match Stats'!$C:$C,A18,'Player Match Stats'!$F:$F)</f>
        <v>6</v>
      </c>
      <c r="D18">
        <f>SUMIF('Player Match Stats'!$C:$C,A18,'Player Match Stats'!$G:$G)</f>
        <v>3</v>
      </c>
      <c r="E18">
        <f>SUMIF('Player Match Stats'!$C:$C,A18,'Player Match Stats'!$H:$H)</f>
        <v>3</v>
      </c>
      <c r="F18" s="15">
        <f>SUMIF('Player Match Stats'!$C:$C,A18,'Player Match Stats'!$I:$I)</f>
        <v>1</v>
      </c>
      <c r="G18">
        <f t="shared" si="0"/>
        <v>0.5</v>
      </c>
      <c r="H18" s="13">
        <f t="shared" si="1"/>
        <v>0.25</v>
      </c>
      <c r="I18" s="13">
        <f t="shared" si="2"/>
        <v>0.25</v>
      </c>
      <c r="J18" s="13" t="str">
        <f t="shared" si="3"/>
        <v>✅ SIM</v>
      </c>
      <c r="K18" t="str">
        <f>IF(L18&lt;&gt;"",13,"")</f>
        <v/>
      </c>
      <c r="M18" s="15"/>
      <c r="N18" s="15"/>
      <c r="O18" s="15"/>
      <c r="P18" s="15"/>
      <c r="Q18" s="15"/>
      <c r="R18" s="13"/>
      <c r="S18" s="13"/>
      <c r="T18" s="13"/>
    </row>
    <row r="19" spans="1:20" x14ac:dyDescent="0.25">
      <c r="A19" t="str">
        <f>Geral!A15</f>
        <v>alisson</v>
      </c>
      <c r="B19">
        <f>COUNTIF('Player Match Stats'!$C:$C,A19)</f>
        <v>12</v>
      </c>
      <c r="C19">
        <f>SUMIF('Player Match Stats'!$C:$C,A19,'Player Match Stats'!$F:$F)</f>
        <v>4</v>
      </c>
      <c r="D19">
        <f>SUMIF('Player Match Stats'!$C:$C,A19,'Player Match Stats'!$G:$G)</f>
        <v>6</v>
      </c>
      <c r="E19">
        <f>SUMIF('Player Match Stats'!$C:$C,A19,'Player Match Stats'!$H:$H)</f>
        <v>1</v>
      </c>
      <c r="F19" s="15">
        <f>SUMIF('Player Match Stats'!$C:$C,A19,'Player Match Stats'!$I:$I)</f>
        <v>1</v>
      </c>
      <c r="G19">
        <f t="shared" si="0"/>
        <v>0.36363636363636365</v>
      </c>
      <c r="H19" s="13">
        <f t="shared" si="1"/>
        <v>0.54545454545454541</v>
      </c>
      <c r="I19" s="13">
        <f t="shared" si="2"/>
        <v>9.0909090909090912E-2</v>
      </c>
      <c r="J19" s="13" t="str">
        <f t="shared" si="3"/>
        <v>✅ SIM</v>
      </c>
      <c r="K19" t="str">
        <f>IF(L19&lt;&gt;"",14,"")</f>
        <v/>
      </c>
      <c r="M19" s="15"/>
      <c r="N19" s="15"/>
      <c r="O19" s="15"/>
      <c r="P19" s="15"/>
      <c r="Q19" s="15"/>
      <c r="R19" s="13"/>
      <c r="S19" s="13"/>
      <c r="T19" s="13"/>
    </row>
    <row r="20" spans="1:20" x14ac:dyDescent="0.25">
      <c r="A20" t="str">
        <f>Geral!A16</f>
        <v>junior</v>
      </c>
      <c r="B20">
        <f>COUNTIF('Player Match Stats'!$C:$C,A20)</f>
        <v>11</v>
      </c>
      <c r="C20">
        <f>SUMIF('Player Match Stats'!$C:$C,A20,'Player Match Stats'!$F:$F)</f>
        <v>5</v>
      </c>
      <c r="D20">
        <f>SUMIF('Player Match Stats'!$C:$C,A20,'Player Match Stats'!$G:$G)</f>
        <v>4</v>
      </c>
      <c r="E20">
        <f>SUMIF('Player Match Stats'!$C:$C,A20,'Player Match Stats'!$H:$H)</f>
        <v>1</v>
      </c>
      <c r="F20" s="15">
        <f>SUMIF('Player Match Stats'!$C:$C,A20,'Player Match Stats'!$I:$I)</f>
        <v>1</v>
      </c>
      <c r="G20">
        <f t="shared" si="0"/>
        <v>0.5</v>
      </c>
      <c r="H20" s="13">
        <f t="shared" si="1"/>
        <v>0.4</v>
      </c>
      <c r="I20" s="13">
        <f t="shared" si="2"/>
        <v>0.1</v>
      </c>
      <c r="J20" s="13" t="str">
        <f t="shared" si="3"/>
        <v>❌ NÃO</v>
      </c>
      <c r="K20" t="str">
        <f>IF(L20&lt;&gt;"",15,"")</f>
        <v/>
      </c>
      <c r="M20" s="15"/>
      <c r="N20" s="15"/>
      <c r="O20" s="15"/>
      <c r="P20" s="15"/>
      <c r="Q20" s="15"/>
      <c r="R20" s="13"/>
      <c r="S20" s="13"/>
      <c r="T20" s="13"/>
    </row>
    <row r="21" spans="1:20" x14ac:dyDescent="0.25">
      <c r="A21" t="str">
        <f>Geral!A17</f>
        <v>andrew</v>
      </c>
      <c r="B21">
        <f>COUNTIF('Player Match Stats'!$C:$C,A21)</f>
        <v>10</v>
      </c>
      <c r="C21">
        <f>SUMIF('Player Match Stats'!$C:$C,A21,'Player Match Stats'!$F:$F)</f>
        <v>3</v>
      </c>
      <c r="D21">
        <f>SUMIF('Player Match Stats'!$C:$C,A21,'Player Match Stats'!$G:$G)</f>
        <v>5</v>
      </c>
      <c r="E21">
        <f>SUMIF('Player Match Stats'!$C:$C,A21,'Player Match Stats'!$H:$H)</f>
        <v>2</v>
      </c>
      <c r="F21" s="15">
        <f>SUMIF('Player Match Stats'!$C:$C,A21,'Player Match Stats'!$I:$I)</f>
        <v>0</v>
      </c>
      <c r="G21">
        <f t="shared" si="0"/>
        <v>0.3</v>
      </c>
      <c r="H21" s="13">
        <f t="shared" si="1"/>
        <v>0.5</v>
      </c>
      <c r="I21" s="13">
        <f t="shared" si="2"/>
        <v>0.2</v>
      </c>
      <c r="J21" s="13" t="str">
        <f t="shared" si="3"/>
        <v>❌ NÃO</v>
      </c>
    </row>
    <row r="22" spans="1:20" x14ac:dyDescent="0.25">
      <c r="A22" t="str">
        <f>Geral!A18</f>
        <v>hernani</v>
      </c>
      <c r="B22">
        <f>COUNTIF('Player Match Stats'!$C:$C,A22)</f>
        <v>9</v>
      </c>
      <c r="C22">
        <f>SUMIF('Player Match Stats'!$C:$C,A22,'Player Match Stats'!$F:$F)</f>
        <v>1</v>
      </c>
      <c r="D22">
        <f>SUMIF('Player Match Stats'!$C:$C,A22,'Player Match Stats'!$G:$G)</f>
        <v>6</v>
      </c>
      <c r="E22">
        <f>SUMIF('Player Match Stats'!$C:$C,A22,'Player Match Stats'!$H:$H)</f>
        <v>1</v>
      </c>
      <c r="F22" s="15">
        <f>SUMIF('Player Match Stats'!$C:$C,A22,'Player Match Stats'!$I:$I)</f>
        <v>1</v>
      </c>
      <c r="G22">
        <f t="shared" si="0"/>
        <v>0.125</v>
      </c>
      <c r="H22" s="13">
        <f t="shared" si="1"/>
        <v>0.75</v>
      </c>
      <c r="I22" s="13">
        <f t="shared" si="2"/>
        <v>0.125</v>
      </c>
      <c r="J22" s="13" t="str">
        <f t="shared" si="3"/>
        <v>❌ NÃO</v>
      </c>
    </row>
    <row r="23" spans="1:20" x14ac:dyDescent="0.25">
      <c r="A23" t="str">
        <f>Geral!A19</f>
        <v>jonathan</v>
      </c>
      <c r="B23">
        <f>COUNTIF('Player Match Stats'!$C:$C,A23)</f>
        <v>7</v>
      </c>
      <c r="C23">
        <f>SUMIF('Player Match Stats'!$C:$C,A23,'Player Match Stats'!$F:$F)</f>
        <v>1</v>
      </c>
      <c r="D23">
        <f>SUMIF('Player Match Stats'!$C:$C,A23,'Player Match Stats'!$G:$G)</f>
        <v>4</v>
      </c>
      <c r="E23">
        <f>SUMIF('Player Match Stats'!$C:$C,A23,'Player Match Stats'!$H:$H)</f>
        <v>1</v>
      </c>
      <c r="F23" s="15">
        <f>SUMIF('Player Match Stats'!$C:$C,A23,'Player Match Stats'!$I:$I)</f>
        <v>1</v>
      </c>
      <c r="G23">
        <f t="shared" si="0"/>
        <v>0.16666666666666666</v>
      </c>
      <c r="H23" s="13">
        <f t="shared" si="1"/>
        <v>0.66666666666666663</v>
      </c>
      <c r="I23" s="13">
        <f t="shared" si="2"/>
        <v>0.16666666666666666</v>
      </c>
      <c r="J23" s="13" t="str">
        <f t="shared" si="3"/>
        <v>❌ NÃO</v>
      </c>
    </row>
    <row r="24" spans="1:20" x14ac:dyDescent="0.25">
      <c r="A24" t="str">
        <f>Geral!A20</f>
        <v>renan</v>
      </c>
      <c r="B24">
        <f>COUNTIF('Player Match Stats'!$C:$C,A24)</f>
        <v>7</v>
      </c>
      <c r="C24">
        <f>SUMIF('Player Match Stats'!$C:$C,A24,'Player Match Stats'!$F:$F)</f>
        <v>2</v>
      </c>
      <c r="D24">
        <f>SUMIF('Player Match Stats'!$C:$C,A24,'Player Match Stats'!$G:$G)</f>
        <v>3</v>
      </c>
      <c r="E24">
        <f>SUMIF('Player Match Stats'!$C:$C,A24,'Player Match Stats'!$H:$H)</f>
        <v>1</v>
      </c>
      <c r="F24" s="15">
        <f>SUMIF('Player Match Stats'!$C:$C,A24,'Player Match Stats'!$I:$I)</f>
        <v>1</v>
      </c>
      <c r="G24">
        <f t="shared" si="0"/>
        <v>0.33333333333333331</v>
      </c>
      <c r="H24" s="13">
        <f t="shared" si="1"/>
        <v>0.5</v>
      </c>
      <c r="I24" s="13">
        <f t="shared" si="2"/>
        <v>0.16666666666666666</v>
      </c>
      <c r="J24" s="13" t="str">
        <f t="shared" si="3"/>
        <v>❌ NÃO</v>
      </c>
    </row>
    <row r="25" spans="1:20" x14ac:dyDescent="0.25">
      <c r="A25" t="str">
        <f>Geral!A21</f>
        <v>daniel</v>
      </c>
      <c r="B25">
        <f>COUNTIF('Player Match Stats'!$C:$C,A25)</f>
        <v>7</v>
      </c>
      <c r="C25">
        <f>SUMIF('Player Match Stats'!$C:$C,A25,'Player Match Stats'!$F:$F)</f>
        <v>2</v>
      </c>
      <c r="D25">
        <f>SUMIF('Player Match Stats'!$C:$C,A25,'Player Match Stats'!$G:$G)</f>
        <v>3</v>
      </c>
      <c r="E25">
        <f>SUMIF('Player Match Stats'!$C:$C,A25,'Player Match Stats'!$H:$H)</f>
        <v>2</v>
      </c>
      <c r="F25" s="15">
        <f>SUMIF('Player Match Stats'!$C:$C,A25,'Player Match Stats'!$I:$I)</f>
        <v>0</v>
      </c>
      <c r="G25">
        <f t="shared" si="0"/>
        <v>0.2857142857142857</v>
      </c>
      <c r="H25" s="13">
        <f t="shared" si="1"/>
        <v>0.42857142857142855</v>
      </c>
      <c r="I25" s="13">
        <f t="shared" si="2"/>
        <v>0.2857142857142857</v>
      </c>
      <c r="J25" s="13" t="str">
        <f t="shared" si="3"/>
        <v>❌ NÃO</v>
      </c>
    </row>
    <row r="26" spans="1:20" x14ac:dyDescent="0.25">
      <c r="A26" t="str">
        <f>Geral!A22</f>
        <v>osmar</v>
      </c>
      <c r="B26">
        <f>COUNTIF('Player Match Stats'!$C:$C,A26)</f>
        <v>7</v>
      </c>
      <c r="C26">
        <f>SUMIF('Player Match Stats'!$C:$C,A26,'Player Match Stats'!$F:$F)</f>
        <v>4</v>
      </c>
      <c r="D26">
        <f>SUMIF('Player Match Stats'!$C:$C,A26,'Player Match Stats'!$G:$G)</f>
        <v>1</v>
      </c>
      <c r="E26">
        <f>SUMIF('Player Match Stats'!$C:$C,A26,'Player Match Stats'!$H:$H)</f>
        <v>1</v>
      </c>
      <c r="F26" s="15">
        <f>SUMIF('Player Match Stats'!$C:$C,A26,'Player Match Stats'!$I:$I)</f>
        <v>1</v>
      </c>
      <c r="G26">
        <f t="shared" si="0"/>
        <v>0.66666666666666663</v>
      </c>
      <c r="H26" s="13">
        <f t="shared" si="1"/>
        <v>0.16666666666666666</v>
      </c>
      <c r="I26" s="13">
        <f t="shared" si="2"/>
        <v>0.16666666666666666</v>
      </c>
      <c r="J26" s="13" t="str">
        <f t="shared" si="3"/>
        <v>❌ NÃO</v>
      </c>
    </row>
    <row r="27" spans="1:20" x14ac:dyDescent="0.25">
      <c r="A27" t="str">
        <f>Geral!A23</f>
        <v>carlao</v>
      </c>
      <c r="B27">
        <f>COUNTIF('Player Match Stats'!$C:$C,A27)</f>
        <v>6</v>
      </c>
      <c r="C27">
        <f>SUMIF('Player Match Stats'!$C:$C,A27,'Player Match Stats'!$F:$F)</f>
        <v>4</v>
      </c>
      <c r="D27">
        <f>SUMIF('Player Match Stats'!$C:$C,A27,'Player Match Stats'!$G:$G)</f>
        <v>0</v>
      </c>
      <c r="E27">
        <f>SUMIF('Player Match Stats'!$C:$C,A27,'Player Match Stats'!$H:$H)</f>
        <v>1</v>
      </c>
      <c r="F27" s="15">
        <f>SUMIF('Player Match Stats'!$C:$C,A27,'Player Match Stats'!$I:$I)</f>
        <v>1</v>
      </c>
      <c r="G27">
        <f t="shared" si="0"/>
        <v>0.8</v>
      </c>
      <c r="H27" s="13">
        <f t="shared" si="1"/>
        <v>0</v>
      </c>
      <c r="I27" s="13">
        <f t="shared" si="2"/>
        <v>0.2</v>
      </c>
      <c r="J27" s="13" t="str">
        <f t="shared" si="3"/>
        <v>❌ NÃO</v>
      </c>
    </row>
    <row r="28" spans="1:20" x14ac:dyDescent="0.25">
      <c r="A28" t="str">
        <f>Geral!A24</f>
        <v>thiago</v>
      </c>
      <c r="B28">
        <f>COUNTIF('Player Match Stats'!$C:$C,A28)</f>
        <v>5</v>
      </c>
      <c r="C28">
        <f>SUMIF('Player Match Stats'!$C:$C,A28,'Player Match Stats'!$F:$F)</f>
        <v>2</v>
      </c>
      <c r="D28">
        <f>SUMIF('Player Match Stats'!$C:$C,A28,'Player Match Stats'!$G:$G)</f>
        <v>1</v>
      </c>
      <c r="E28">
        <f>SUMIF('Player Match Stats'!$C:$C,A28,'Player Match Stats'!$H:$H)</f>
        <v>2</v>
      </c>
      <c r="F28" s="15">
        <f>SUMIF('Player Match Stats'!$C:$C,A28,'Player Match Stats'!$I:$I)</f>
        <v>0</v>
      </c>
      <c r="G28">
        <f t="shared" si="0"/>
        <v>0.4</v>
      </c>
      <c r="H28" s="13">
        <f t="shared" si="1"/>
        <v>0.2</v>
      </c>
      <c r="I28" s="13">
        <f t="shared" si="2"/>
        <v>0.4</v>
      </c>
      <c r="J28" s="13" t="str">
        <f t="shared" si="3"/>
        <v>❌ NÃO</v>
      </c>
    </row>
    <row r="29" spans="1:20" x14ac:dyDescent="0.25">
      <c r="A29" t="str">
        <f>Geral!A25</f>
        <v>douglas</v>
      </c>
      <c r="B29">
        <f>COUNTIF('Player Match Stats'!$C:$C,A29)</f>
        <v>5</v>
      </c>
      <c r="C29">
        <f>SUMIF('Player Match Stats'!$C:$C,A29,'Player Match Stats'!$F:$F)</f>
        <v>3</v>
      </c>
      <c r="D29">
        <f>SUMIF('Player Match Stats'!$C:$C,A29,'Player Match Stats'!$G:$G)</f>
        <v>1</v>
      </c>
      <c r="E29">
        <f>SUMIF('Player Match Stats'!$C:$C,A29,'Player Match Stats'!$H:$H)</f>
        <v>0</v>
      </c>
      <c r="F29" s="15">
        <f>SUMIF('Player Match Stats'!$C:$C,A29,'Player Match Stats'!$I:$I)</f>
        <v>1</v>
      </c>
      <c r="G29">
        <f t="shared" si="0"/>
        <v>0.75</v>
      </c>
      <c r="H29" s="13">
        <f t="shared" si="1"/>
        <v>0.25</v>
      </c>
      <c r="I29" s="13">
        <f t="shared" si="2"/>
        <v>0</v>
      </c>
      <c r="J29" s="13" t="str">
        <f t="shared" si="3"/>
        <v>❌ NÃO</v>
      </c>
    </row>
    <row r="30" spans="1:20" x14ac:dyDescent="0.25">
      <c r="A30" t="str">
        <f>Geral!A26</f>
        <v>gesiel</v>
      </c>
      <c r="B30">
        <f>COUNTIF('Player Match Stats'!$C:$C,A30)</f>
        <v>4</v>
      </c>
      <c r="C30">
        <f>SUMIF('Player Match Stats'!$C:$C,A30,'Player Match Stats'!$F:$F)</f>
        <v>3</v>
      </c>
      <c r="D30">
        <f>SUMIF('Player Match Stats'!$C:$C,A30,'Player Match Stats'!$G:$G)</f>
        <v>1</v>
      </c>
      <c r="E30">
        <f>SUMIF('Player Match Stats'!$C:$C,A30,'Player Match Stats'!$H:$H)</f>
        <v>0</v>
      </c>
      <c r="F30" s="15">
        <f>SUMIF('Player Match Stats'!$C:$C,A30,'Player Match Stats'!$I:$I)</f>
        <v>0</v>
      </c>
      <c r="G30">
        <f t="shared" si="0"/>
        <v>0.75</v>
      </c>
      <c r="H30" s="13">
        <f t="shared" si="1"/>
        <v>0.25</v>
      </c>
      <c r="I30" s="13">
        <f t="shared" si="2"/>
        <v>0</v>
      </c>
      <c r="J30" s="13" t="str">
        <f t="shared" si="3"/>
        <v>❌ NÃO</v>
      </c>
    </row>
    <row r="31" spans="1:20" x14ac:dyDescent="0.25">
      <c r="A31" t="str">
        <f>Geral!A27</f>
        <v>bruno</v>
      </c>
      <c r="B31">
        <f>COUNTIF('Player Match Stats'!$C:$C,A31)</f>
        <v>3</v>
      </c>
      <c r="C31">
        <f>SUMIF('Player Match Stats'!$C:$C,A31,'Player Match Stats'!$F:$F)</f>
        <v>1</v>
      </c>
      <c r="D31">
        <f>SUMIF('Player Match Stats'!$C:$C,A31,'Player Match Stats'!$G:$G)</f>
        <v>1</v>
      </c>
      <c r="E31">
        <f>SUMIF('Player Match Stats'!$C:$C,A31,'Player Match Stats'!$H:$H)</f>
        <v>0</v>
      </c>
      <c r="F31" s="15">
        <f>SUMIF('Player Match Stats'!$C:$C,A31,'Player Match Stats'!$I:$I)</f>
        <v>1</v>
      </c>
      <c r="G31">
        <f t="shared" si="0"/>
        <v>0.5</v>
      </c>
      <c r="H31" s="13">
        <f t="shared" si="1"/>
        <v>0.5</v>
      </c>
      <c r="I31" s="13">
        <f t="shared" si="2"/>
        <v>0</v>
      </c>
      <c r="J31" s="13" t="str">
        <f t="shared" si="3"/>
        <v>❌ NÃO</v>
      </c>
    </row>
    <row r="32" spans="1:20" x14ac:dyDescent="0.25">
      <c r="A32" t="str">
        <f>Geral!A28</f>
        <v>lucas lopes</v>
      </c>
      <c r="B32">
        <f>COUNTIF('Player Match Stats'!$C:$C,A32)</f>
        <v>3</v>
      </c>
      <c r="C32">
        <f>SUMIF('Player Match Stats'!$C:$C,A32,'Player Match Stats'!$F:$F)</f>
        <v>1</v>
      </c>
      <c r="D32">
        <f>SUMIF('Player Match Stats'!$C:$C,A32,'Player Match Stats'!$G:$G)</f>
        <v>2</v>
      </c>
      <c r="E32">
        <f>SUMIF('Player Match Stats'!$C:$C,A32,'Player Match Stats'!$H:$H)</f>
        <v>0</v>
      </c>
      <c r="F32" s="15">
        <f>SUMIF('Player Match Stats'!$C:$C,A32,'Player Match Stats'!$I:$I)</f>
        <v>0</v>
      </c>
      <c r="G32">
        <f t="shared" si="0"/>
        <v>0.33333333333333331</v>
      </c>
      <c r="H32" s="13">
        <f t="shared" si="1"/>
        <v>0.66666666666666663</v>
      </c>
      <c r="I32" s="13">
        <f t="shared" si="2"/>
        <v>0</v>
      </c>
      <c r="J32" s="13" t="str">
        <f t="shared" si="3"/>
        <v>❌ NÃO</v>
      </c>
    </row>
    <row r="33" spans="1:10" x14ac:dyDescent="0.25">
      <c r="A33" t="str">
        <f>Geral!A29</f>
        <v>pedro</v>
      </c>
      <c r="B33">
        <f>COUNTIF('Player Match Stats'!$C:$C,A33)</f>
        <v>3</v>
      </c>
      <c r="C33">
        <f>SUMIF('Player Match Stats'!$C:$C,A33,'Player Match Stats'!$F:$F)</f>
        <v>1</v>
      </c>
      <c r="D33">
        <f>SUMIF('Player Match Stats'!$C:$C,A33,'Player Match Stats'!$G:$G)</f>
        <v>2</v>
      </c>
      <c r="E33">
        <f>SUMIF('Player Match Stats'!$C:$C,A33,'Player Match Stats'!$H:$H)</f>
        <v>0</v>
      </c>
      <c r="F33" s="15">
        <f>SUMIF('Player Match Stats'!$C:$C,A33,'Player Match Stats'!$I:$I)</f>
        <v>0</v>
      </c>
      <c r="G33">
        <f t="shared" si="0"/>
        <v>0.33333333333333331</v>
      </c>
      <c r="H33" s="13">
        <f t="shared" si="1"/>
        <v>0.66666666666666663</v>
      </c>
      <c r="I33" s="13">
        <f t="shared" si="2"/>
        <v>0</v>
      </c>
      <c r="J33" s="13" t="str">
        <f t="shared" si="3"/>
        <v>❌ NÃO</v>
      </c>
    </row>
    <row r="34" spans="1:10" x14ac:dyDescent="0.25">
      <c r="A34" t="str">
        <f>Geral!A30</f>
        <v>everton jr</v>
      </c>
      <c r="B34">
        <f>COUNTIF('Player Match Stats'!$C:$C,A34)</f>
        <v>2</v>
      </c>
      <c r="C34">
        <f>SUMIF('Player Match Stats'!$C:$C,A34,'Player Match Stats'!$F:$F)</f>
        <v>0</v>
      </c>
      <c r="D34">
        <f>SUMIF('Player Match Stats'!$C:$C,A34,'Player Match Stats'!$G:$G)</f>
        <v>1</v>
      </c>
      <c r="E34">
        <f>SUMIF('Player Match Stats'!$C:$C,A34,'Player Match Stats'!$H:$H)</f>
        <v>1</v>
      </c>
      <c r="F34" s="15">
        <f>SUMIF('Player Match Stats'!$C:$C,A34,'Player Match Stats'!$I:$I)</f>
        <v>0</v>
      </c>
      <c r="G34">
        <f t="shared" si="0"/>
        <v>0</v>
      </c>
      <c r="H34" s="13">
        <f t="shared" si="1"/>
        <v>0.5</v>
      </c>
      <c r="I34" s="13">
        <f t="shared" si="2"/>
        <v>0.5</v>
      </c>
      <c r="J34" s="13" t="str">
        <f t="shared" si="3"/>
        <v>❌ NÃO</v>
      </c>
    </row>
    <row r="35" spans="1:10" x14ac:dyDescent="0.25">
      <c r="A35" t="str">
        <f>Geral!A31</f>
        <v>carto</v>
      </c>
      <c r="B35">
        <f>COUNTIF('Player Match Stats'!$C:$C,A35)</f>
        <v>2</v>
      </c>
      <c r="C35">
        <f>SUMIF('Player Match Stats'!$C:$C,A35,'Player Match Stats'!$F:$F)</f>
        <v>1</v>
      </c>
      <c r="D35">
        <f>SUMIF('Player Match Stats'!$C:$C,A35,'Player Match Stats'!$G:$G)</f>
        <v>1</v>
      </c>
      <c r="E35">
        <f>SUMIF('Player Match Stats'!$C:$C,A35,'Player Match Stats'!$H:$H)</f>
        <v>0</v>
      </c>
      <c r="F35" s="15">
        <f>SUMIF('Player Match Stats'!$C:$C,A35,'Player Match Stats'!$I:$I)</f>
        <v>0</v>
      </c>
      <c r="G35">
        <f t="shared" si="0"/>
        <v>0.5</v>
      </c>
      <c r="H35" s="13">
        <f t="shared" si="1"/>
        <v>0.5</v>
      </c>
      <c r="I35" s="13">
        <f t="shared" si="2"/>
        <v>0</v>
      </c>
      <c r="J35" s="13" t="str">
        <f t="shared" si="3"/>
        <v>❌ NÃO</v>
      </c>
    </row>
    <row r="36" spans="1:10" x14ac:dyDescent="0.25">
      <c r="A36" t="str">
        <f>Geral!A32</f>
        <v>gustavo</v>
      </c>
      <c r="B36">
        <f>COUNTIF('Player Match Stats'!$C:$C,A36)</f>
        <v>2</v>
      </c>
      <c r="C36">
        <f>SUMIF('Player Match Stats'!$C:$C,A36,'Player Match Stats'!$F:$F)</f>
        <v>2</v>
      </c>
      <c r="D36">
        <f>SUMIF('Player Match Stats'!$C:$C,A36,'Player Match Stats'!$G:$G)</f>
        <v>0</v>
      </c>
      <c r="E36">
        <f>SUMIF('Player Match Stats'!$C:$C,A36,'Player Match Stats'!$H:$H)</f>
        <v>0</v>
      </c>
      <c r="F36" s="15">
        <f>SUMIF('Player Match Stats'!$C:$C,A36,'Player Match Stats'!$I:$I)</f>
        <v>0</v>
      </c>
      <c r="G36">
        <f t="shared" si="0"/>
        <v>1</v>
      </c>
      <c r="H36" s="13">
        <f t="shared" si="1"/>
        <v>0</v>
      </c>
      <c r="I36" s="13">
        <f t="shared" si="2"/>
        <v>0</v>
      </c>
      <c r="J36" s="13" t="str">
        <f t="shared" si="3"/>
        <v>❌ NÃO</v>
      </c>
    </row>
    <row r="37" spans="1:10" x14ac:dyDescent="0.25">
      <c r="A37" t="str">
        <f>Geral!A33</f>
        <v>filemon</v>
      </c>
      <c r="B37">
        <f>COUNTIF('Player Match Stats'!$C:$C,A37)</f>
        <v>1</v>
      </c>
      <c r="C37">
        <f>SUMIF('Player Match Stats'!$C:$C,A37,'Player Match Stats'!$F:$F)</f>
        <v>0</v>
      </c>
      <c r="D37">
        <f>SUMIF('Player Match Stats'!$C:$C,A37,'Player Match Stats'!$G:$G)</f>
        <v>1</v>
      </c>
      <c r="E37">
        <f>SUMIF('Player Match Stats'!$C:$C,A37,'Player Match Stats'!$H:$H)</f>
        <v>0</v>
      </c>
      <c r="F37" s="15">
        <f>SUMIF('Player Match Stats'!$C:$C,A37,'Player Match Stats'!$I:$I)</f>
        <v>0</v>
      </c>
      <c r="G37">
        <f t="shared" si="0"/>
        <v>0</v>
      </c>
      <c r="H37" s="13">
        <f t="shared" si="1"/>
        <v>1</v>
      </c>
      <c r="I37" s="13">
        <f t="shared" si="2"/>
        <v>0</v>
      </c>
      <c r="J37" s="13" t="str">
        <f t="shared" si="3"/>
        <v>❌ NÃO</v>
      </c>
    </row>
    <row r="38" spans="1:10" x14ac:dyDescent="0.25">
      <c r="A38" t="str">
        <f>Geral!A34</f>
        <v>giusephe</v>
      </c>
      <c r="B38">
        <f>COUNTIF('Player Match Stats'!$C:$C,A38)</f>
        <v>1</v>
      </c>
      <c r="C38">
        <f>SUMIF('Player Match Stats'!$C:$C,A38,'Player Match Stats'!$F:$F)</f>
        <v>0</v>
      </c>
      <c r="D38">
        <f>SUMIF('Player Match Stats'!$C:$C,A38,'Player Match Stats'!$G:$G)</f>
        <v>1</v>
      </c>
      <c r="E38">
        <f>SUMIF('Player Match Stats'!$C:$C,A38,'Player Match Stats'!$H:$H)</f>
        <v>0</v>
      </c>
      <c r="F38" s="15">
        <f>SUMIF('Player Match Stats'!$C:$C,A38,'Player Match Stats'!$I:$I)</f>
        <v>0</v>
      </c>
      <c r="G38">
        <f t="shared" si="0"/>
        <v>0</v>
      </c>
      <c r="H38" s="13">
        <f t="shared" si="1"/>
        <v>1</v>
      </c>
      <c r="I38" s="13">
        <f t="shared" si="2"/>
        <v>0</v>
      </c>
      <c r="J38" s="13" t="str">
        <f t="shared" si="3"/>
        <v>❌ NÃO</v>
      </c>
    </row>
    <row r="39" spans="1:10" x14ac:dyDescent="0.25">
      <c r="A39" t="str">
        <f>Geral!A35</f>
        <v>danilo</v>
      </c>
      <c r="B39">
        <f>COUNTIF('Player Match Stats'!$C:$C,A39)</f>
        <v>1</v>
      </c>
      <c r="C39">
        <f>SUMIF('Player Match Stats'!$C:$C,A39,'Player Match Stats'!$F:$F)</f>
        <v>0</v>
      </c>
      <c r="D39">
        <f>SUMIF('Player Match Stats'!$C:$C,A39,'Player Match Stats'!$G:$G)</f>
        <v>1</v>
      </c>
      <c r="E39">
        <f>SUMIF('Player Match Stats'!$C:$C,A39,'Player Match Stats'!$H:$H)</f>
        <v>0</v>
      </c>
      <c r="F39" s="15">
        <f>SUMIF('Player Match Stats'!$C:$C,A39,'Player Match Stats'!$I:$I)</f>
        <v>0</v>
      </c>
      <c r="G39">
        <f t="shared" si="0"/>
        <v>0</v>
      </c>
      <c r="H39" s="13">
        <f t="shared" si="1"/>
        <v>1</v>
      </c>
      <c r="I39" s="13">
        <f t="shared" si="2"/>
        <v>0</v>
      </c>
      <c r="J39" s="13" t="str">
        <f t="shared" si="3"/>
        <v>❌ NÃO</v>
      </c>
    </row>
  </sheetData>
  <mergeCells count="4">
    <mergeCell ref="A1:J1"/>
    <mergeCell ref="A3:J3"/>
    <mergeCell ref="L1:T1"/>
    <mergeCell ref="L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Jogadores</vt:lpstr>
      <vt:lpstr>Player Match Stats</vt:lpstr>
      <vt:lpstr>Geral</vt:lpstr>
      <vt:lpstr>GA</vt:lpstr>
      <vt:lpstr>% Vitórias</vt:lpstr>
      <vt:lpstr>ListaJogadores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Vardi</cp:lastModifiedBy>
  <cp:lastPrinted>2026-04-14T20:34:19Z</cp:lastPrinted>
  <dcterms:created xsi:type="dcterms:W3CDTF">2026-01-27T19:05:11Z</dcterms:created>
  <dcterms:modified xsi:type="dcterms:W3CDTF">2026-06-16T16:45:14Z</dcterms:modified>
</cp:coreProperties>
</file>